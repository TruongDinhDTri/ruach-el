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1. Project Charter" sheetId="2" r:id="rId6"/>
    <sheet state="visible" name="2. Roadmap" sheetId="3" r:id="rId7"/>
    <sheet state="visible" name="3. Phase Plan" sheetId="4" r:id="rId8"/>
    <sheet state="visible" name="4. Screen Matrix" sheetId="5" r:id="rId9"/>
    <sheet state="visible" name="5. Feature Matrix" sheetId="6" r:id="rId10"/>
    <sheet state="visible" name="6. API List" sheetId="7" r:id="rId11"/>
    <sheet state="visible" name="7. DB Schema" sheetId="8" r:id="rId12"/>
    <sheet state="visible" name="8. Sprint Backlog" sheetId="9" r:id="rId13"/>
    <sheet state="visible" name="9. Test Strategy" sheetId="10" r:id="rId14"/>
    <sheet state="visible" name="10. Bug Log" sheetId="11" r:id="rId15"/>
    <sheet state="visible" name="Issue Log" sheetId="12" r:id="rId16"/>
    <sheet state="visible" name="Risk Log" sheetId="13" r:id="rId17"/>
    <sheet state="visible" name="Decision Log" sheetId="14" r:id="rId18"/>
    <sheet state="visible" name="Weekly Report" sheetId="15" r:id="rId19"/>
  </sheets>
  <definedNames/>
  <calcPr/>
</workbook>
</file>

<file path=xl/sharedStrings.xml><?xml version="1.0" encoding="utf-8"?>
<sst xmlns="http://schemas.openxmlformats.org/spreadsheetml/2006/main" count="3127" uniqueCount="1450">
  <si>
    <t>LotoChecker — Master Project Plan (v2 — QA-enhanced)</t>
  </si>
  <si>
    <t>Single source of truth: PM • Dev • Manager — Updated weekly by PM</t>
  </si>
  <si>
    <t>Sheet</t>
  </si>
  <si>
    <t>Mục đích</t>
  </si>
  <si>
    <t>Đối tượng đọc chính</t>
  </si>
  <si>
    <t>Tần suất cập nhật</t>
  </si>
  <si>
    <t>1. Project Charter</t>
  </si>
  <si>
    <t>Tổng quan dự án 1 trang</t>
  </si>
  <si>
    <t>Manager / Stakeholder</t>
  </si>
  <si>
    <t>Khi có change request lớn</t>
  </si>
  <si>
    <t>2. Roadmap</t>
  </si>
  <si>
    <t>Sơ đồ tuần Gantt + QA workstream xuyên suốt</t>
  </si>
  <si>
    <t>Tất cả</t>
  </si>
  <si>
    <t>Khi reschedule</t>
  </si>
  <si>
    <t>3. Phase Plan</t>
  </si>
  <si>
    <t>Entry/exit criteria, deliverables, sign-off</t>
  </si>
  <si>
    <t>Manager + PM</t>
  </si>
  <si>
    <t>Khi chuyển phase</t>
  </si>
  <si>
    <t>4. Screen Matrix</t>
  </si>
  <si>
    <t>37 màn hình UI với status, designer, dev</t>
  </si>
  <si>
    <t>Designer, FE, QA</t>
  </si>
  <si>
    <t>Hằng tuần</t>
  </si>
  <si>
    <t>5. Feature Matrix</t>
  </si>
  <si>
    <t>45 features theo MoSCoW + phase</t>
  </si>
  <si>
    <t>PM, Dev, QA, Manager</t>
  </si>
  <si>
    <t>Khi có change request</t>
  </si>
  <si>
    <t>6. API List</t>
  </si>
  <si>
    <t>45 REST/WebSocket endpoints</t>
  </si>
  <si>
    <t>BE, FE, QA</t>
  </si>
  <si>
    <t>7. DB Schema</t>
  </si>
  <si>
    <t>Design DB for prj</t>
  </si>
  <si>
    <t>FE, BE, QA</t>
  </si>
  <si>
    <t>8. Sprint Backlog</t>
  </si>
  <si>
    <t>65+ task chia 4 sprint (đã thêm testing)</t>
  </si>
  <si>
    <t>Toàn team</t>
  </si>
  <si>
    <t>Daily / mỗi standup</t>
  </si>
  <si>
    <t>9. Test Strategy</t>
  </si>
  <si>
    <t>Test pyramid, DoD, môi trường, tools, release checklist</t>
  </si>
  <si>
    <t>PM/QA, Dev, Manager</t>
  </si>
  <si>
    <t>Khi đổi quy trình</t>
  </si>
  <si>
    <t>10. Bug Log</t>
  </si>
  <si>
    <t>Bug tracking riêng — severity P1-P4, repro, fix</t>
  </si>
  <si>
    <t>PM/QA, Dev</t>
  </si>
  <si>
    <t>Khi có bug mới</t>
  </si>
  <si>
    <t>Issue Log</t>
  </si>
  <si>
    <t>Vấn đề non-bug: blocker, dependency, infra</t>
  </si>
  <si>
    <t>PM, Tech Lead</t>
  </si>
  <si>
    <t>Khi có issue mới</t>
  </si>
  <si>
    <t>Risk Log</t>
  </si>
  <si>
    <t>Rủi ro tiềm ẩn (review mỗi 2 tuần)</t>
  </si>
  <si>
    <t>PM, Manager</t>
  </si>
  <si>
    <t>Mỗi 2 tuần</t>
  </si>
  <si>
    <t>Decision Log</t>
  </si>
  <si>
    <t>Quyết định kỹ thuật/business quan trọng</t>
  </si>
  <si>
    <t>Khi có decision</t>
  </si>
  <si>
    <t>Weekly Report</t>
  </si>
  <si>
    <t>Template báo cáo tuần cho manager</t>
  </si>
  <si>
    <t>Manager</t>
  </si>
  <si>
    <t>Mỗi thứ Sáu</t>
  </si>
  <si>
    <t>LotoChecker — Project Charter</t>
  </si>
  <si>
    <t>Phase 1 MVP • 2 tháng • AIoT Inc</t>
  </si>
  <si>
    <t>THÔNG TIN CHUNG</t>
  </si>
  <si>
    <t>Tên dự án</t>
  </si>
  <si>
    <t>LotoChecker — Nền tảng phân tích xổ số Nhật Bản</t>
  </si>
  <si>
    <t>Sponsor</t>
  </si>
  <si>
    <t>Nguyễn Mạnh Hùng (hungnm@aiot-global.com)</t>
  </si>
  <si>
    <t>PM / QA</t>
  </si>
  <si>
    <t>Tech Lead</t>
  </si>
  <si>
    <t>Ngày kick-off</t>
  </si>
  <si>
    <t>Demo nội bộ</t>
  </si>
  <si>
    <t>UAT với sponsor</t>
  </si>
  <si>
    <t>Tuần 8</t>
  </si>
  <si>
    <t>Soft launch</t>
  </si>
  <si>
    <t>Cuối tuần 8</t>
  </si>
  <si>
    <t>Team</t>
  </si>
  <si>
    <t>1 Frontend + 1 Backend + 1 PM/QA + 1 Tester</t>
  </si>
  <si>
    <t>Tech stack</t>
  </si>
  <si>
    <t>Next.js + TS  + i18n + Tailwind· FastAPI· PostgreSQL + Redis · Docker + Vercel/AWS</t>
  </si>
  <si>
    <t>MỤC TIÊU KINH DOANH (WHY)</t>
  </si>
  <si>
    <t>• Lấp khoảng trống thị trường: chưa có platform phân tích frequency cho lottery Nhật.</t>
  </si>
  <si>
    <t>• Tiếp cận 2 segment: người Nhật chơi xổ số + cộng đồng người Việt tại Nhật.</t>
  </si>
  <si>
    <t>• Validate freemium: Free → Premium ¥500/tháng. Mục tiêu conversion 3–5% sau 3 tháng.</t>
  </si>
  <si>
    <t>• Không phát sinh giao dịch tiền thật → an toàn pháp lý.</t>
  </si>
  <si>
    <t>• Build nền tảng dữ liệu để mở rộng LINE Mini App Phase 2.</t>
  </si>
  <si>
    <t>IN SCOPE (Phase 1 MVP)</t>
  </si>
  <si>
    <t>OUT OF SCOPE (Phase 1)</t>
  </si>
  <si>
    <t>• Auth: email + password, JWT</t>
  </si>
  <si>
    <t>• LINE Mini App (P2)</t>
  </si>
  <si>
    <t>• Chơi thử Loto 6/7/Mini</t>
  </si>
  <si>
    <t>• Backtesting / Strategy (P2)</t>
  </si>
  <si>
    <t>• Frequency analyzer realtime</t>
  </si>
  <si>
    <t>• AI Number Generator (P2)</t>
  </si>
  <si>
    <t>• Crawler Mizuho + fallback admin</t>
  </si>
  <si>
    <t>• Push notifications (P2)</t>
  </si>
  <si>
    <t>• My Page + history + leaderboard</t>
  </si>
  <si>
    <t>• Nhóm chơi / Syndicate (P2)</t>
  </si>
  <si>
    <t>• Statistics: Hot/Cold + heatmap</t>
  </si>
  <si>
    <t>• Payment thật ( Confirm Payment) (P2 - P1 placeholder)</t>
  </si>
  <si>
    <t>• Admin panel + Premium gating</t>
  </si>
  <si>
    <t>• OAuth Google (P2)</t>
  </si>
  <si>
    <t>• Responsive mobile-first</t>
  </si>
  <si>
    <t>• Native mobile app (P3)</t>
  </si>
  <si>
    <t>• Test infrastructure (unit/E2E/load)</t>
  </si>
  <si>
    <t>• Penetration test chuyên nghiệp (P2)</t>
  </si>
  <si>
    <t>• UAT với sponsor</t>
  </si>
  <si>
    <t>• Multi-region deployment (P3)</t>
  </si>
  <si>
    <t>• Multi languages</t>
  </si>
  <si>
    <t>TOP 7 RISKS (xem chi tiết ở sheet 11. Risk Log)</t>
  </si>
  <si>
    <t>ID</t>
  </si>
  <si>
    <t>Risk</t>
  </si>
  <si>
    <t>Xác suất × Tác động</t>
  </si>
  <si>
    <t>Mitigation</t>
  </si>
  <si>
    <t>R-01</t>
  </si>
  <si>
    <t>Mizuho Bank đổi cấu trúc HTML → crawler hỏng</t>
  </si>
  <si>
    <t>Medium × High</t>
  </si>
  <si>
    <t>Monitoring + alert; selector ổn định
Tìm nguồn backup nếu Mizuho lỗi</t>
  </si>
  <si>
    <t>R-02</t>
  </si>
  <si>
    <t>Frequency query chậm khi user concurrent tăng</t>
  </si>
  <si>
    <t>Redis cache; pre-compute</t>
  </si>
  <si>
    <t>R-04</t>
  </si>
  <si>
    <t>Conversion Free → Premium &lt; 3%</t>
  </si>
  <si>
    <t>Medium × Medium</t>
  </si>
  <si>
    <t>A/B test paywall</t>
  </si>
  <si>
    <t>R-05</t>
  </si>
  <si>
    <t>Team 3 người: 1 sick = slip 1 tuần</t>
  </si>
  <si>
    <t>Buffer + cross-train</t>
  </si>
  <si>
    <t>R-11</t>
  </si>
  <si>
    <t>PM kiêm QA = bottleneck, miss bug (mới)</t>
  </si>
  <si>
    <t>High × High</t>
  </si>
  <si>
    <t>Test automation &gt; 60%; UAT có sponsor</t>
  </si>
  <si>
    <t>R-13</t>
  </si>
  <si>
    <t>Data crawl ban đầu chứa lỗi (mới)</t>
  </si>
  <si>
    <t>Validate import; cross-check source 2</t>
  </si>
  <si>
    <t>Roadmap — 8 tuần + QA xuyên suốt</t>
  </si>
  <si>
    <t>Workstream</t>
  </si>
  <si>
    <t>W1</t>
  </si>
  <si>
    <t>W2</t>
  </si>
  <si>
    <t>W3</t>
  </si>
  <si>
    <t>W4</t>
  </si>
  <si>
    <t>W5</t>
  </si>
  <si>
    <t>W6</t>
  </si>
  <si>
    <t>W7</t>
  </si>
  <si>
    <t>W8</t>
  </si>
  <si>
    <t>Owner</t>
  </si>
  <si>
    <t>Status</t>
  </si>
  <si>
    <t>Notes</t>
  </si>
  <si>
    <t>Setup repo + CI/CD + DB schema</t>
  </si>
  <si>
    <t>█</t>
  </si>
  <si>
    <t>BE/PM</t>
  </si>
  <si>
    <t>Not Started</t>
  </si>
  <si>
    <t>Create UI-UX</t>
  </si>
  <si>
    <t>FE/PM</t>
  </si>
  <si>
    <t>Auth module (register/login/JWT)</t>
  </si>
  <si>
    <t>BE+FE</t>
  </si>
  <si>
    <t>Data crawler (Mizuho) + initial import</t>
  </si>
  <si>
    <t>BE</t>
  </si>
  <si>
    <t>1,400+ kỳ</t>
  </si>
  <si>
    <t>Admin: schedule + manual entry</t>
  </si>
  <si>
    <t>My Page + History + Saved sets</t>
  </si>
  <si>
    <t>FE+BE</t>
  </si>
  <si>
    <t>Lottery simulation + result matching</t>
  </si>
  <si>
    <t>UI/UX polish + i18n VI/JA</t>
  </si>
  <si>
    <t>FE</t>
  </si>
  <si>
    <t>Frequency analyzer + Redis cache</t>
  </si>
  <si>
    <t>Signature feature</t>
  </si>
  <si>
    <t>Number picker UI + realtime counter</t>
  </si>
  <si>
    <t>MILESTONE: Demo nội bộ</t>
  </si>
  <si>
    <t>◆</t>
  </si>
  <si>
    <t>PM</t>
  </si>
  <si>
    <t>End W4</t>
  </si>
  <si>
    <t>Leaderboard + Point system</t>
  </si>
  <si>
    <t>Statistics dashboard (Hot/Cold + heatmap)</t>
  </si>
  <si>
    <t>Admin panel + Premium gating</t>
  </si>
  <si>
    <t>Deploy production + soft launch</t>
  </si>
  <si>
    <t>BE+PM</t>
  </si>
  <si>
    <t>MILESTONE: UAT với sponsor</t>
  </si>
  <si>
    <t>MILESTONE: Soft Launch v1.0</t>
  </si>
  <si>
    <t>End W8</t>
  </si>
  <si>
    <t>─── QA WORKSTREAM (xuyên suốt) ───</t>
  </si>
  <si>
    <t>[QA] Test infra setup (Jest/Pytest/Playwright/k6)</t>
  </si>
  <si>
    <t>PM/QA + Dev</t>
  </si>
  <si>
    <t>Foundation</t>
  </si>
  <si>
    <t>[QA] Unit tests (dev tự viết, theo DoD)</t>
  </si>
  <si>
    <t>Dev</t>
  </si>
  <si>
    <t>Continuous</t>
  </si>
  <si>
    <t>[QA] Integration &amp; API tests</t>
  </si>
  <si>
    <t>PM/QA + BE</t>
  </si>
  <si>
    <t>[QA] E2E test (Playwright) — happy paths</t>
  </si>
  <si>
    <t>PM/QA</t>
  </si>
  <si>
    <t>[QA] Performance test cho Frequency (P95 &lt; 200ms)</t>
  </si>
  <si>
    <t>Verify từ Sprint 2</t>
  </si>
  <si>
    <t>[QA] Cross-browser + mobile responsive test</t>
  </si>
  <si>
    <t>PM/QA + FE</t>
  </si>
  <si>
    <t>[QA] Security scan (OWASP ZAP + dep audit)</t>
  </si>
  <si>
    <t>[QA] Bug bash + regression</t>
  </si>
  <si>
    <t>Trước mỗi milestone</t>
  </si>
  <si>
    <t>[QA] UAT formal với sponsor</t>
  </si>
  <si>
    <t>PM + Sponsor</t>
  </si>
  <si>
    <t>Mới — 1 buổi W8</t>
  </si>
  <si>
    <t>Chú thích:</t>
  </si>
  <si>
    <t>█ Dev work</t>
  </si>
  <si>
    <t>█ QA work</t>
  </si>
  <si>
    <t>◆ Milestone</t>
  </si>
  <si>
    <t>Phase Plan — Entry / Exit Criteria &amp; Deliverables</t>
  </si>
  <si>
    <t>Phase</t>
  </si>
  <si>
    <t>Duration</t>
  </si>
  <si>
    <t>Entry Criteria</t>
  </si>
  <si>
    <t>Key Deliverables</t>
  </si>
  <si>
    <t>Exit Criteria</t>
  </si>
  <si>
    <t>Sign-off</t>
  </si>
  <si>
    <t>0. Discovery &amp; Setup</t>
  </si>
  <si>
    <t>• Kickoff done
• Stakeholder list xác nhận
• Tech stack thống nhất</t>
  </si>
  <si>
    <t>• Repo + CI/CD
• ERD + DB migration v1
• Project plan
• Figma workspace
• Testing framework (Jest/Pytest/Playwright/k6)
• Definition of Done document</t>
  </si>
  <si>
    <t>• Dev env chạy được
• 1 commit pass CI (lint + test + build)
• DoD checklist approved</t>
  </si>
  <si>
    <t>PM + Tech Lead</t>
  </si>
  <si>
    <t>1. Foundation (Auth + Data)</t>
  </si>
  <si>
    <t>W1–W2</t>
  </si>
  <si>
    <t>• Phase 0 done
• DB schema approved</t>
  </si>
  <si>
    <t>• Auth module (register/login/JWT)
• Crawler Mizuho OK
• 1,400+ kỳ đã import + validate
• Admin entry UI
• Unit test coverage &gt; 70% cho module</t>
  </si>
  <si>
    <t>• User register + login OK
• Crawler chạy auto 3 ngày 0 lỗi
• Data spot-check 10% pass
• Unit + integration test xanh</t>
  </si>
  <si>
    <t>2. Core Engine (Sim + Frequency)</t>
  </si>
  <si>
    <t>W3–W4</t>
  </si>
  <si>
    <t>• Phase 1 done
• Lottery data sạch</t>
  </si>
  <si>
    <t>• Submit play + đối chiếu kết quả
• Frequency engine + Redis cache
• Number picker UI realtime
• Performance test baseline (Frequency)
• E2E test: Auth + Play flows</t>
  </si>
  <si>
    <t>• Frequency P95 &lt; 200ms verified
• E2E test xanh
• Demo nội bộ pass
• Anh Hùng review pass
• 0 P1 bug</t>
  </si>
  <si>
    <t>Sponsor (anh Hùng)</t>
  </si>
  <si>
    <t>3. Engagement Layer</t>
  </si>
  <si>
    <t>W5–W6</t>
  </si>
  <si>
    <t>• Phase 2 done + demo pass</t>
  </si>
  <si>
    <t>• My Page + History
• Saved sets CRUD
• Leaderboard + Points
• Statistics dashboard
• Cross-browser test
• Mobile responsive verified</t>
  </si>
  <si>
    <t>• User journey end-to-end mượt
• Charts render &lt; 1s
• Cross-browser test pass (Chrome/Safari/Firefox)
• Mobile test pass
• 0 P1 bug</t>
  </si>
  <si>
    <t>4. Monetization + Launch</t>
  </si>
  <si>
    <t>W7–W8</t>
  </si>
  <si>
    <t>• Phase 3 done</t>
  </si>
  <si>
    <t>• Admin panel
• Premium gating đầy đủ
• UI/UX polish + i18n
• Production deploy + monitoring
• Security scan (OWASP ZAP) pass
• Load test (100 RPS) pass
• UAT formal với sponsor</t>
  </si>
  <si>
    <t>• 0 P1 bug, ≤ 3 P2 bug
• Lighthouse &gt; 80
• Security scan: 0 high vuln
• Load test: P95 &lt; 300ms
• UAT sign-off từ sponsor
• Rollback drill OK</t>
  </si>
  <si>
    <t>5. Hypercare (Post-launch)</t>
  </si>
  <si>
    <t>W9+ (2 tuần)</t>
  </si>
  <si>
    <t>• Soft launch done</t>
  </si>
  <si>
    <t>• Daily monitoring
• Bug fix hotline (&lt; 4h cho P1)
• User feedback loop
• Phase 2 backlog
• Postmortem ngày 7</t>
  </si>
  <si>
    <t>• Crash-free &gt; 99%
• Bug P1 &lt; 24h resolve
• Phase 2 plan approved</t>
  </si>
  <si>
    <t>Screen Matrix — All Screens</t>
  </si>
  <si>
    <t>Module</t>
  </si>
  <si>
    <t>Screen</t>
  </si>
  <si>
    <t>Note</t>
  </si>
  <si>
    <t>User Role</t>
  </si>
  <si>
    <t>Priority</t>
  </si>
  <si>
    <t>Designer</t>
  </si>
  <si>
    <t>FE Dev</t>
  </si>
  <si>
    <t>QA</t>
  </si>
  <si>
    <t>Link (Figma / Jira)</t>
  </si>
  <si>
    <t>Date Start</t>
  </si>
  <si>
    <t>Hours</t>
  </si>
  <si>
    <t>Comments</t>
  </si>
  <si>
    <t>S-001</t>
  </si>
  <si>
    <t>Public</t>
  </si>
  <si>
    <t>Landing Page</t>
  </si>
  <si>
    <t>Giới thiệu LotoChecker + CTA đăng ký</t>
  </si>
  <si>
    <t>Guest</t>
  </si>
  <si>
    <t>Must</t>
  </si>
  <si>
    <t>P1</t>
  </si>
  <si>
    <t>S-002</t>
  </si>
  <si>
    <t>Pricing Page</t>
  </si>
  <si>
    <r>
      <rPr>
        <rFont val="Calibri"/>
        <color theme="1"/>
        <sz val="10.0"/>
      </rPr>
      <t>Bảng so sánh Free vs Premium ¥500/</t>
    </r>
    <r>
      <rPr>
        <rFont val="Noto Sans CJK SC"/>
        <color theme="1"/>
        <sz val="10.0"/>
      </rPr>
      <t>月</t>
    </r>
  </si>
  <si>
    <t>S-010</t>
  </si>
  <si>
    <t>Auth</t>
  </si>
  <si>
    <t>Register</t>
  </si>
  <si>
    <t>Form đăng ký email + password</t>
  </si>
  <si>
    <t>S-011</t>
  </si>
  <si>
    <t>Email Verification</t>
  </si>
  <si>
    <t>Trang xác nhận sau khi click link email</t>
  </si>
  <si>
    <t>S-012</t>
  </si>
  <si>
    <t>Login</t>
  </si>
  <si>
    <t>Form đăng nhập + Remember me</t>
  </si>
  <si>
    <t>S-013</t>
  </si>
  <si>
    <t>Forgot Password</t>
  </si>
  <si>
    <t>Form nhập email gửi reset link</t>
  </si>
  <si>
    <t>S-014</t>
  </si>
  <si>
    <t>Reset Password</t>
  </si>
  <si>
    <t>Form set new password từ link email</t>
  </si>
  <si>
    <t>S-020</t>
  </si>
  <si>
    <t>App</t>
  </si>
  <si>
    <t>Home / Dashboard</t>
  </si>
  <si>
    <t>Tổng quan: kỳ sắp tới, hot numbers, CTA</t>
  </si>
  <si>
    <t>User</t>
  </si>
  <si>
    <t>S-021</t>
  </si>
  <si>
    <t>Play</t>
  </si>
  <si>
    <t>Play — Loto 6</t>
  </si>
  <si>
    <t>Chọn 6/43. Realtime frequency counter.</t>
  </si>
  <si>
    <t>S-022</t>
  </si>
  <si>
    <t>Play — Loto 7</t>
  </si>
  <si>
    <t>Chọn 7/37. Realtime frequency counter.</t>
  </si>
  <si>
    <t>S-023</t>
  </si>
  <si>
    <t>Play — Mini Loto</t>
  </si>
  <si>
    <t>Chọn 5/31. Realtime frequency counter.</t>
  </si>
  <si>
    <t>S-024</t>
  </si>
  <si>
    <t>Submit Confirmation</t>
  </si>
  <si>
    <t>Xác nhận lưu bộ số + ngày quay</t>
  </si>
  <si>
    <t>S-030</t>
  </si>
  <si>
    <t>Profile</t>
  </si>
  <si>
    <t>My Page</t>
  </si>
  <si>
    <t>Info user + tổng điểm + xếp hạng</t>
  </si>
  <si>
    <t>S-031</t>
  </si>
  <si>
    <t>Edit Profile</t>
  </si>
  <si>
    <t>Sửa tên, avatar, ngôn ngữ</t>
  </si>
  <si>
    <t>Should</t>
  </si>
  <si>
    <t>S-032</t>
  </si>
  <si>
    <t>Change Password</t>
  </si>
  <si>
    <t>Đổi mật khẩu (yêu cầu pass cũ)</t>
  </si>
  <si>
    <t>S-033</t>
  </si>
  <si>
    <t>History</t>
  </si>
  <si>
    <t>Play History</t>
  </si>
  <si>
    <t>List các lần chơi + kết quả đối chiếu</t>
  </si>
  <si>
    <t>S-034</t>
  </si>
  <si>
    <t>Play History Detail</t>
  </si>
  <si>
    <t>Chi tiết 1 lần chơi: số đã chọn vs trúng</t>
  </si>
  <si>
    <t>S-040</t>
  </si>
  <si>
    <t>Saved Sets</t>
  </si>
  <si>
    <t>Saved Sets List</t>
  </si>
  <si>
    <t>List bộ số đã lưu</t>
  </si>
  <si>
    <t>S-041</t>
  </si>
  <si>
    <t>Add / Edit Saved Set</t>
  </si>
  <si>
    <t>Tạo/sửa bộ số yêu thích</t>
  </si>
  <si>
    <t>S-050</t>
  </si>
  <si>
    <t>Social</t>
  </si>
  <si>
    <t>Leaderboard</t>
  </si>
  <si>
    <t>Top user theo điểm. Free: top 10.</t>
  </si>
  <si>
    <t>S-060</t>
  </si>
  <si>
    <t>Results</t>
  </si>
  <si>
    <t>Lottery Result History</t>
  </si>
  <si>
    <t>Timeline 1,400+ kỳ. Tìm theo ngày/số.</t>
  </si>
  <si>
    <t>S-061</t>
  </si>
  <si>
    <t>Lottery Result Detail</t>
  </si>
  <si>
    <t>Chi tiết 1 kỳ: số trúng, jackpot, winners</t>
  </si>
  <si>
    <t>S-070</t>
  </si>
  <si>
    <t>Statistics</t>
  </si>
  <si>
    <t>Stats Dashboard (overview)</t>
  </si>
  <si>
    <t>Tổng hợp hot/cold + phân phối</t>
  </si>
  <si>
    <t>S-071</t>
  </si>
  <si>
    <t>Hot / Cold Numbers</t>
  </si>
  <si>
    <t>Số nóng/lạnh 30/90/365 kỳ. Free: cơ bản.</t>
  </si>
  <si>
    <t>S-072</t>
  </si>
  <si>
    <t>Distribution Stats</t>
  </si>
  <si>
    <t>Chẵn/lẻ, tổng, khoảng cách</t>
  </si>
  <si>
    <t>S-073</t>
  </si>
  <si>
    <t>Heatmap View (Premium)</t>
  </si>
  <si>
    <t>Heatmap màu sắc theo tần suất.</t>
  </si>
  <si>
    <t>Premium</t>
  </si>
  <si>
    <t>S-080</t>
  </si>
  <si>
    <t>Premium Upgrade Page</t>
  </si>
  <si>
    <t>Giới thiệu Premium</t>
  </si>
  <si>
    <t>S-081</t>
  </si>
  <si>
    <t>Subscription Management</t>
  </si>
  <si>
    <t>Hủy / gia hạn / xem invoice</t>
  </si>
  <si>
    <t>P2</t>
  </si>
  <si>
    <t>S-090</t>
  </si>
  <si>
    <t>Notifications</t>
  </si>
  <si>
    <t>Notification Center</t>
  </si>
  <si>
    <t>List thông báo basic.</t>
  </si>
  <si>
    <t>Could</t>
  </si>
  <si>
    <t>S-091</t>
  </si>
  <si>
    <t>Notification Settings</t>
  </si>
  <si>
    <t>Bật/tắt push, email per category</t>
  </si>
  <si>
    <t>S-099</t>
  </si>
  <si>
    <t>System</t>
  </si>
  <si>
    <t>404 / Error Pages</t>
  </si>
  <si>
    <t>Not Found, Server Error, Maintenance</t>
  </si>
  <si>
    <t>All</t>
  </si>
  <si>
    <t>S-100</t>
  </si>
  <si>
    <t>Admin</t>
  </si>
  <si>
    <t>Admin Login</t>
  </si>
  <si>
    <t>Login riêng cho admin (RBAC)</t>
  </si>
  <si>
    <t>S-101</t>
  </si>
  <si>
    <t>Admin Dashboard</t>
  </si>
  <si>
    <t>Tổng quan: user, premium, results</t>
  </si>
  <si>
    <t>S-102</t>
  </si>
  <si>
    <t>User Management</t>
  </si>
  <si>
    <t>List user, search, suspend, đổi role</t>
  </si>
  <si>
    <t>S-103</t>
  </si>
  <si>
    <t>Lottery Result Management</t>
  </si>
  <si>
    <t>CRUD kết quả (fallback crawler)</t>
  </si>
  <si>
    <t>S-104</t>
  </si>
  <si>
    <t>Crawler Status &amp; Logs</t>
  </si>
  <si>
    <t>Trạng thái cron, log lỗi, trigger</t>
  </si>
  <si>
    <t>S-105</t>
  </si>
  <si>
    <t>Premium / Subscription Mgmt</t>
  </si>
  <si>
    <t>List premium, doanh thu, hủy gói</t>
  </si>
  <si>
    <t>Feature Matrix</t>
  </si>
  <si>
    <t>Feature</t>
  </si>
  <si>
    <t>Note / Acceptance Criteria</t>
  </si>
  <si>
    <t>Tier</t>
  </si>
  <si>
    <t>Complexity</t>
  </si>
  <si>
    <t>Linked Screen</t>
  </si>
  <si>
    <t>F-001</t>
  </si>
  <si>
    <t>Docs</t>
  </si>
  <si>
    <t>Swagger UI (/docs)</t>
  </si>
  <si>
    <t>Create swagger for API</t>
  </si>
  <si>
    <t>M</t>
  </si>
  <si>
    <t>F-002</t>
  </si>
  <si>
    <t>Đăng ký bằng email</t>
  </si>
  <si>
    <t>User nhập email + password, verify email mới login được.</t>
  </si>
  <si>
    <t>Free</t>
  </si>
  <si>
    <t>S-010, S-011</t>
  </si>
  <si>
    <t>F-003</t>
  </si>
  <si>
    <t>Đăng nhập + JWT + Remember Me</t>
  </si>
  <si>
    <t>Login trả JWT access+refresh.</t>
  </si>
  <si>
    <t>F-004</t>
  </si>
  <si>
    <t>Quên / Reset password</t>
  </si>
  <si>
    <t>The OTP code will expire in 5 minutes.</t>
  </si>
  <si>
    <t>S-013, S-014</t>
  </si>
  <si>
    <t>F-005</t>
  </si>
  <si>
    <t>OAuth Google</t>
  </si>
  <si>
    <t>Phase 2.</t>
  </si>
  <si>
    <t>F-010</t>
  </si>
  <si>
    <t>Chơi thử Loto 6 (1-43)</t>
  </si>
  <si>
    <t>Chọn 6 số khác nhau, submit, chờ đối chiếu.</t>
  </si>
  <si>
    <t>L</t>
  </si>
  <si>
    <t>F-011</t>
  </si>
  <si>
    <t>Chơi thử Loto 7 (1-37)</t>
  </si>
  <si>
    <t>Chọn 7 số khác nhau.</t>
  </si>
  <si>
    <t>F-012</t>
  </si>
  <si>
    <t>Chơi thử Mini Loto (1-31)</t>
  </si>
  <si>
    <t>Chọn 5 số khác nhau.</t>
  </si>
  <si>
    <t>F-013</t>
  </si>
  <si>
    <t>Giới hạn 3 lần/kỳ (Free)</t>
  </si>
  <si>
    <t>Free max 3 submit/kỳ. Premium unlimited.
Không được chọn kỳ chơi, chỉ được chơi kỳ tiếp theo.
Premium không giới hạn kỳ, lượt.</t>
  </si>
  <si>
    <t>Free/Prem</t>
  </si>
  <si>
    <t>S</t>
  </si>
  <si>
    <t>S-021..023</t>
  </si>
  <si>
    <t>F-014</t>
  </si>
  <si>
    <t>Lưu bộ số yêu thích</t>
  </si>
  <si>
    <t>Free: 1 set. Premium: không giới hạn.</t>
  </si>
  <si>
    <t>S-040, S-041</t>
  </si>
  <si>
    <t>F-015</t>
  </si>
  <si>
    <t>Chơi lại bộ số đã lưu (1 click)</t>
  </si>
  <si>
    <t>Click 'Play again' → fill bộ cũ.</t>
  </si>
  <si>
    <t>F-020</t>
  </si>
  <si>
    <t>Frequency</t>
  </si>
  <si>
    <t>Realtime frequency counter</t>
  </si>
  <si>
    <t>Subset query {s1..sn}, P95 &lt; 200ms.</t>
  </si>
  <si>
    <t>XL</t>
  </si>
  <si>
    <t>F-021</t>
  </si>
  <si>
    <t>Free: tối đa 3 số chọn</t>
  </si>
  <si>
    <t>Free user max 3 số, blur sau đó.</t>
  </si>
  <si>
    <t>F-022</t>
  </si>
  <si>
    <t>Premium: full 6 số</t>
  </si>
  <si>
    <t>Premium full frequency. Maybe 4 or 5.</t>
  </si>
  <si>
    <t>F-023</t>
  </si>
  <si>
    <t>Redis cache hot combos</t>
  </si>
  <si>
    <t>Cache top 1000, TTL 24h.</t>
  </si>
  <si>
    <t>—</t>
  </si>
  <si>
    <t>F-030</t>
  </si>
  <si>
    <t>Stats</t>
  </si>
  <si>
    <t>Hot / Cold numbers</t>
  </si>
  <si>
    <t>30/90/365 kỳ. Free: cơ bản.</t>
  </si>
  <si>
    <t>F-031</t>
  </si>
  <si>
    <t>Phân phối chẵn/lẻ</t>
  </si>
  <si>
    <t>Tỷ lệ chẵn/lẻ kỳ trúng giải.</t>
  </si>
  <si>
    <t>F-032</t>
  </si>
  <si>
    <t>Phân phối tổng số</t>
  </si>
  <si>
    <t>Histogram tổng. TB ~132 Loto 6.</t>
  </si>
  <si>
    <t>F-033</t>
  </si>
  <si>
    <t>Heatmap (Premium)</t>
  </si>
  <si>
    <t>Heatmap màu sắc 1-43.</t>
  </si>
  <si>
    <t>F-034</t>
  </si>
  <si>
    <t>Export CSV/PDF (Premium)</t>
  </si>
  <si>
    <t>Phase 2 ưu tiên thấp.</t>
  </si>
  <si>
    <t>F-040</t>
  </si>
  <si>
    <t>Lịch sử kết quả xổ số</t>
  </si>
  <si>
    <t>Free: 30 kỳ. Premium: full.</t>
  </si>
  <si>
    <t>F-041</t>
  </si>
  <si>
    <t>Tìm kiếm kỳ quay</t>
  </si>
  <si>
    <t>Filter ngày, số, tổ hợp.</t>
  </si>
  <si>
    <t>F-042</t>
  </si>
  <si>
    <t>Lịch quay sắp tới</t>
  </si>
  <si>
    <t>3 loại.</t>
  </si>
  <si>
    <t>F-050</t>
  </si>
  <si>
    <t>Crawler</t>
  </si>
  <si>
    <t>Auto-fetch Mizuho</t>
  </si>
  <si>
    <t>Cron hằng ngày sau giờ quay.</t>
  </si>
  <si>
    <t>F-051</t>
  </si>
  <si>
    <t>Admin nhập tay fallback</t>
  </si>
  <si>
    <t>UI khi crawler fail.</t>
  </si>
  <si>
    <t>F-052</t>
  </si>
  <si>
    <t>Alert khi crawler fail</t>
  </si>
  <si>
    <t>Email/Slack sau 2 fail liên tiếp.</t>
  </si>
  <si>
    <t>F-060</t>
  </si>
  <si>
    <t>Engagement</t>
  </si>
  <si>
    <t>Point system</t>
  </si>
  <si>
    <t>Trúng N số = X điểm.</t>
  </si>
  <si>
    <t>F-061</t>
  </si>
  <si>
    <t>Free: top 10. Premium: full + badge.</t>
  </si>
  <si>
    <t>F-062</t>
  </si>
  <si>
    <t>Badge / Achievement</t>
  </si>
  <si>
    <t>Phase 2 ưu tiên.</t>
  </si>
  <si>
    <t>F-070</t>
  </si>
  <si>
    <t>Upgrade flow + gating</t>
  </si>
  <si>
    <t>Middleware RBAC; CTA gating.</t>
  </si>
  <si>
    <t>F-071</t>
  </si>
  <si>
    <t>Thanh toán Stripe</t>
  </si>
  <si>
    <t>P1 placeholder; P2 integrate.</t>
  </si>
  <si>
    <t>S-080, S-081</t>
  </si>
  <si>
    <t>F-072</t>
  </si>
  <si>
    <t>Trial 7 ngày</t>
  </si>
  <si>
    <t>A/B test.</t>
  </si>
  <si>
    <t>F-080</t>
  </si>
  <si>
    <t>Smart</t>
  </si>
  <si>
    <t>Backtesting</t>
  </si>
  <si>
    <t>Chơi bộ này 100 kỳ trúng bao nhiêu.</t>
  </si>
  <si>
    <t>F-081</t>
  </si>
  <si>
    <t>Smart Number Generator</t>
  </si>
  <si>
    <t>Theo phân phối lịch sử.</t>
  </si>
  <si>
    <t>F-082</t>
  </si>
  <si>
    <t>Thông báo suýt trúng</t>
  </si>
  <si>
    <t>Push/email khi 4/6 match.</t>
  </si>
  <si>
    <t>F-083</t>
  </si>
  <si>
    <t>Nhóm chơi / Syndicate</t>
  </si>
  <si>
    <t>Tạo nhóm, chia sẻ.</t>
  </si>
  <si>
    <t>F-084</t>
  </si>
  <si>
    <t>LINE Mini App</t>
  </si>
  <si>
    <t>Tích hợp LINE.</t>
  </si>
  <si>
    <t>F-090</t>
  </si>
  <si>
    <t>User management</t>
  </si>
  <si>
    <t>List, suspend, đổi role.</t>
  </si>
  <si>
    <t>F-091</t>
  </si>
  <si>
    <t>Lottery result CRUD</t>
  </si>
  <si>
    <t>Tạo/sửa/xóa.</t>
  </si>
  <si>
    <t>F-092</t>
  </si>
  <si>
    <t>Crawler control + logs</t>
  </si>
  <si>
    <t>Trigger thủ công.</t>
  </si>
  <si>
    <t>F-100</t>
  </si>
  <si>
    <t>NFR</t>
  </si>
  <si>
    <t>Responsive mobile-first</t>
  </si>
  <si>
    <t>Lighthouse &gt; 80.</t>
  </si>
  <si>
    <t>F-101</t>
  </si>
  <si>
    <t>i18n VI / JA / EN</t>
  </si>
  <si>
    <t>Default theo browser locale.</t>
  </si>
  <si>
    <t>F-102</t>
  </si>
  <si>
    <t>API P95 &lt; 300ms</t>
  </si>
  <si>
    <t>Load test 100 RPS.</t>
  </si>
  <si>
    <t>F-103</t>
  </si>
  <si>
    <t>OWASP top 10</t>
  </si>
  <si>
    <t>Rate-limit, sanitize.</t>
  </si>
  <si>
    <t>F-104</t>
  </si>
  <si>
    <t>Monitoring + logging</t>
  </si>
  <si>
    <t>Sentry, alert P1.</t>
  </si>
  <si>
    <t>F-105</t>
  </si>
  <si>
    <t>Code coverage &gt; 70%</t>
  </si>
  <si>
    <t>Unit test BE + FE critical paths. (Mới)</t>
  </si>
  <si>
    <t>F-106</t>
  </si>
  <si>
    <t>E2E happy paths covered</t>
  </si>
  <si>
    <t>Playwright cho 5 user journey chính. (Mới)</t>
  </si>
  <si>
    <t>API List — REST + WebSocket endpoints</t>
  </si>
  <si>
    <t>Domain</t>
  </si>
  <si>
    <t>Method</t>
  </si>
  <si>
    <t>Endpoint</t>
  </si>
  <si>
    <t>Role</t>
  </si>
  <si>
    <t>Request / Response (tóm tắt)</t>
  </si>
  <si>
    <t>Sprint</t>
  </si>
  <si>
    <t>API-001</t>
  </si>
  <si>
    <t>POST</t>
  </si>
  <si>
    <t>/api/auth/register</t>
  </si>
  <si>
    <t>Đăng ký + gửi verify email</t>
  </si>
  <si>
    <t>None</t>
  </si>
  <si>
    <t>Req: {email, password, name} → Res: {userId, emailSentTo}</t>
  </si>
  <si>
    <t>S1</t>
  </si>
  <si>
    <t>API-002</t>
  </si>
  <si>
    <t>/api/auth/verify-email</t>
  </si>
  <si>
    <t>Verify email bằng token</t>
  </si>
  <si>
    <t>Req: {token} → Res: 204</t>
  </si>
  <si>
    <t>API-003</t>
  </si>
  <si>
    <t>/api/auth/login</t>
  </si>
  <si>
    <t>Login, trả JWT</t>
  </si>
  <si>
    <t>Req: {email, password, rememberMe} → Res: {access, refresh, user}</t>
  </si>
  <si>
    <t>API-004</t>
  </si>
  <si>
    <t>/api/auth/refresh</t>
  </si>
  <si>
    <t>Refresh token</t>
  </si>
  <si>
    <t>Refresh JWT</t>
  </si>
  <si>
    <t>Req: {refreshToken} → Res: {accessToken}</t>
  </si>
  <si>
    <t>API-005</t>
  </si>
  <si>
    <t>/api/auth/logout</t>
  </si>
  <si>
    <t>Logout</t>
  </si>
  <si>
    <t>JWT</t>
  </si>
  <si>
    <t>204</t>
  </si>
  <si>
    <t>API-006</t>
  </si>
  <si>
    <t>/api/auth/forgot-password</t>
  </si>
  <si>
    <t>Gửi reset link</t>
  </si>
  <si>
    <t>Req: {email} → 204</t>
  </si>
  <si>
    <t>API-007</t>
  </si>
  <si>
    <t>/api/auth/reset-password</t>
  </si>
  <si>
    <t>Set new password</t>
  </si>
  <si>
    <t>Req: {token, newPassword} → 204</t>
  </si>
  <si>
    <t>API-008</t>
  </si>
  <si>
    <t>GET</t>
  </si>
  <si>
    <t>/api/auth/me</t>
  </si>
  <si>
    <t>Info user hiện tại</t>
  </si>
  <si>
    <t>Res: {id, email, name, role, isPremium, points}</t>
  </si>
  <si>
    <t>API-010</t>
  </si>
  <si>
    <t>/api/users/me</t>
  </si>
  <si>
    <t>Profile chi tiết</t>
  </si>
  <si>
    <t>Res: {profile, stats}</t>
  </si>
  <si>
    <t>S3</t>
  </si>
  <si>
    <t>API-011</t>
  </si>
  <si>
    <t>PUT</t>
  </si>
  <si>
    <t>Update profile</t>
  </si>
  <si>
    <t>Req: {name, avatar, language}</t>
  </si>
  <si>
    <t>API-012</t>
  </si>
  <si>
    <t>/api/users/me/password</t>
  </si>
  <si>
    <t>Đổi mật khẩu</t>
  </si>
  <si>
    <t>Req: {oldPassword, newPassword}</t>
  </si>
  <si>
    <t>API-020</t>
  </si>
  <si>
    <t>Lottery</t>
  </si>
  <si>
    <t>/api/lottery/results</t>
  </si>
  <si>
    <t>List kết quả</t>
  </si>
  <si>
    <t>JWT (opt)</t>
  </si>
  <si>
    <t>Query: type, dateFrom, dateTo, page, limit</t>
  </si>
  <si>
    <t>API-021</t>
  </si>
  <si>
    <t>/api/lottery/results/:id</t>
  </si>
  <si>
    <t>Chi tiết 1 kỳ</t>
  </si>
  <si>
    <t>Res: {drawNo, date, numbers, jackpot, winners}</t>
  </si>
  <si>
    <t>API-022</t>
  </si>
  <si>
    <t>/api/lottery/results/latest</t>
  </si>
  <si>
    <t>Kỳ mới nhất</t>
  </si>
  <si>
    <t>Query: type</t>
  </si>
  <si>
    <t>API-023</t>
  </si>
  <si>
    <t>/api/lottery/schedule</t>
  </si>
  <si>
    <t>Lịch quay</t>
  </si>
  <si>
    <t>Res: [{type, nextDrawDate}]</t>
  </si>
  <si>
    <t>API-030</t>
  </si>
  <si>
    <t>/api/plays</t>
  </si>
  <si>
    <t>Submit bộ số</t>
  </si>
  <si>
    <t>Req: {type, numbers[]} → Res: {playId, scheduledDrawDate}</t>
  </si>
  <si>
    <t>S2</t>
  </si>
  <si>
    <t>API-031</t>
  </si>
  <si>
    <t>/api/plays/me</t>
  </si>
  <si>
    <t>Lịch sử chơi</t>
  </si>
  <si>
    <t>Query: page, limit, type</t>
  </si>
  <si>
    <t>API-032</t>
  </si>
  <si>
    <t>/api/plays/:id</t>
  </si>
  <si>
    <t>Chi tiết 1 lần chơi</t>
  </si>
  <si>
    <t>Res: {numbers, drawResult, matchCount, pointsEarned}</t>
  </si>
  <si>
    <t>API-040</t>
  </si>
  <si>
    <t>/api/frequency/check</t>
  </si>
  <si>
    <t>Subset query — signature feature</t>
  </si>
  <si>
    <t>Req: {type, numbers[]} → Res: {count, lastSeenDraws[]}</t>
  </si>
  <si>
    <t>API-041</t>
  </si>
  <si>
    <t>/api/frequency/single</t>
  </si>
  <si>
    <t>Tần suất 1 số</t>
  </si>
  <si>
    <t>Query: type, number</t>
  </si>
  <si>
    <t>API-042</t>
  </si>
  <si>
    <t>WS</t>
  </si>
  <si>
    <t>/ws/frequency</t>
  </si>
  <si>
    <t>Live counter (polling fallback)</t>
  </si>
  <si>
    <t>Stream: {numbers[], count}</t>
  </si>
  <si>
    <t>API-050</t>
  </si>
  <si>
    <t>/api/stats/hot-cold</t>
  </si>
  <si>
    <t>Hot/cold</t>
  </si>
  <si>
    <t>Query: type, period=30|90|365</t>
  </si>
  <si>
    <t>API-051</t>
  </si>
  <si>
    <t>/api/stats/distribution</t>
  </si>
  <si>
    <t>API-052</t>
  </si>
  <si>
    <t>/api/stats/heatmap</t>
  </si>
  <si>
    <t>Query: type, period</t>
  </si>
  <si>
    <t>API-060</t>
  </si>
  <si>
    <t>SavedSets</t>
  </si>
  <si>
    <t>/api/saved-sets</t>
  </si>
  <si>
    <t>List bộ số</t>
  </si>
  <si>
    <t>Free: max 1</t>
  </si>
  <si>
    <t>API-061</t>
  </si>
  <si>
    <t>Tạo bộ số</t>
  </si>
  <si>
    <t>Req: {name, type, numbers[]}</t>
  </si>
  <si>
    <t>API-062</t>
  </si>
  <si>
    <t>/api/saved-sets/:id</t>
  </si>
  <si>
    <t>Sửa bộ số</t>
  </si>
  <si>
    <t>Req: {name, numbers[]}</t>
  </si>
  <si>
    <t>API-063</t>
  </si>
  <si>
    <t>DELETE</t>
  </si>
  <si>
    <t>Xóa bộ số</t>
  </si>
  <si>
    <t>API-070</t>
  </si>
  <si>
    <t>/api/leaderboard</t>
  </si>
  <si>
    <t>Bảng xếp hạng</t>
  </si>
  <si>
    <t>Query: period. Free: top 10</t>
  </si>
  <si>
    <t>API-071</t>
  </si>
  <si>
    <t>Points</t>
  </si>
  <si>
    <t>/api/points/me</t>
  </si>
  <si>
    <t>Tổng điểm + history</t>
  </si>
  <si>
    <t>Res: {total, history[]}</t>
  </si>
  <si>
    <t>API-080</t>
  </si>
  <si>
    <t>/api/premium/status</t>
  </si>
  <si>
    <t>Trạng thái sub</t>
  </si>
  <si>
    <t>Res: {isPremium, expireAt, plan}</t>
  </si>
  <si>
    <t>S4</t>
  </si>
  <si>
    <t>API-081</t>
  </si>
  <si>
    <t>/api/premium/subscribe</t>
  </si>
  <si>
    <t>Đăng ký Premium</t>
  </si>
  <si>
    <t>P1 placeholder</t>
  </si>
  <si>
    <t>API-082</t>
  </si>
  <si>
    <t>/api/premium/cancel</t>
  </si>
  <si>
    <t>Hủy sub</t>
  </si>
  <si>
    <t>Res: {cancelAt}</t>
  </si>
  <si>
    <t>API-090</t>
  </si>
  <si>
    <t>Notif</t>
  </si>
  <si>
    <t>/api/notifications</t>
  </si>
  <si>
    <t>List thông báo</t>
  </si>
  <si>
    <t>Query: page, limit, unreadOnly</t>
  </si>
  <si>
    <t>API-091</t>
  </si>
  <si>
    <t>/api/notifications/:id/read</t>
  </si>
  <si>
    <t>Mark read</t>
  </si>
  <si>
    <t>API-100</t>
  </si>
  <si>
    <t>/api/admin/dashboard</t>
  </si>
  <si>
    <t>Thống kê tổng quan</t>
  </si>
  <si>
    <t>Res: {userCount, premiumCount, latestResults, crawlerStatus}</t>
  </si>
  <si>
    <t>API-101</t>
  </si>
  <si>
    <t>/api/admin/users</t>
  </si>
  <si>
    <t>List user</t>
  </si>
  <si>
    <t>Query: page, limit, search, role</t>
  </si>
  <si>
    <t>API-102</t>
  </si>
  <si>
    <t>/api/admin/users/:id</t>
  </si>
  <si>
    <t>Update user</t>
  </si>
  <si>
    <t>Req: {status, role}</t>
  </si>
  <si>
    <t>API-103</t>
  </si>
  <si>
    <t>/api/admin/lottery-results</t>
  </si>
  <si>
    <t>Nhập tay</t>
  </si>
  <si>
    <t>Req: {type, drawNo, date, numbers, jackpot}</t>
  </si>
  <si>
    <t>API-104</t>
  </si>
  <si>
    <t>/api/admin/lottery-results/:id</t>
  </si>
  <si>
    <t>Sửa kết quả</t>
  </si>
  <si>
    <t>Req: {numbers, jackpot}</t>
  </si>
  <si>
    <t>API-105</t>
  </si>
  <si>
    <t>Xóa kết quả</t>
  </si>
  <si>
    <t>API-106</t>
  </si>
  <si>
    <t>/api/admin/crawler/trigger</t>
  </si>
  <si>
    <t>Trigger crawler</t>
  </si>
  <si>
    <t>Res: {jobId, status}</t>
  </si>
  <si>
    <t>API-107</t>
  </si>
  <si>
    <t>/api/admin/crawler/logs</t>
  </si>
  <si>
    <t>Log crawler</t>
  </si>
  <si>
    <t>Query: page, limit, status</t>
  </si>
  <si>
    <t>API-108</t>
  </si>
  <si>
    <t>/api/admin/premium/subscriptions</t>
  </si>
  <si>
    <t>List sub</t>
  </si>
  <si>
    <t>Query: page, status</t>
  </si>
  <si>
    <t>Table Name</t>
  </si>
  <si>
    <t>Author</t>
  </si>
  <si>
    <t>Reviewer</t>
  </si>
  <si>
    <t>Created Date</t>
  </si>
  <si>
    <t>lottery_types</t>
  </si>
  <si>
    <t>Overview</t>
  </si>
  <si>
    <t>Lottery Type Master</t>
  </si>
  <si>
    <t>Physical Name</t>
  </si>
  <si>
    <t>Logical Name</t>
  </si>
  <si>
    <t>TYPE</t>
  </si>
  <si>
    <t>Length</t>
  </si>
  <si>
    <t>Sample Data</t>
  </si>
  <si>
    <t>NOT NULL</t>
  </si>
  <si>
    <t>DEFAULT</t>
  </si>
  <si>
    <t>Auto Increment</t>
  </si>
  <si>
    <t>PK</t>
  </si>
  <si>
    <t>FK</t>
  </si>
  <si>
    <t>Comment</t>
  </si>
  <si>
    <t>id</t>
  </si>
  <si>
    <t>SMALLSERIAL</t>
  </si>
  <si>
    <t>Y</t>
  </si>
  <si>
    <t>Primary key</t>
  </si>
  <si>
    <t>code</t>
  </si>
  <si>
    <t>Type code</t>
  </si>
  <si>
    <t>VARCHAR</t>
  </si>
  <si>
    <t>20</t>
  </si>
  <si>
    <t>'loto6', 'loto7', 'mini'</t>
  </si>
  <si>
    <t>UNIQUE</t>
  </si>
  <si>
    <t>number_range_max</t>
  </si>
  <si>
    <t>Max number value</t>
  </si>
  <si>
    <t>SMALLINT</t>
  </si>
  <si>
    <t>43, 37, 31</t>
  </si>
  <si>
    <t>numbers_per_draw</t>
  </si>
  <si>
    <t>Numbers per draw</t>
  </si>
  <si>
    <t>6, 7, 5</t>
  </si>
  <si>
    <t>bonus_count</t>
  </si>
  <si>
    <t>Bonus number count</t>
  </si>
  <si>
    <t>1, 2, 1</t>
  </si>
  <si>
    <t>DDL</t>
  </si>
  <si>
    <t>CREATE TABLE lottery_types (
  id SMALLSERIAL PRIMARY KEY,
  code VARCHAR(20) UNIQUE,                -- 'loto6', 'loto7', 'mini'
  number_range_max SMALLINT,              -- 43, 37, 31
  numbers_per_draw SMALLINT,              -- 6, 7, 5
  bonus_count SMALLINT                    -- 1, 2, 1
);</t>
  </si>
  <si>
    <t>draws</t>
  </si>
  <si>
    <t>Draw results (per lottery round)</t>
  </si>
  <si>
    <t>BIGSERIAL</t>
  </si>
  <si>
    <t>lottery_type_id</t>
  </si>
  <si>
    <t>Lottery type ID</t>
  </si>
  <si>
    <t>lottery_types(id)</t>
  </si>
  <si>
    <t>draw_number</t>
  </si>
  <si>
    <t>Draw number (round)</t>
  </si>
  <si>
    <t>INT</t>
  </si>
  <si>
    <t>UNIQUE (lottery_type_id, draw_number)</t>
  </si>
  <si>
    <t>drawn_at</t>
  </si>
  <si>
    <t>Drawn date</t>
  </si>
  <si>
    <t>DATE</t>
  </si>
  <si>
    <t>venue</t>
  </si>
  <si>
    <t>Venue</t>
  </si>
  <si>
    <t>100</t>
  </si>
  <si>
    <t>Tokyo Takarakuji Dream Hall</t>
  </si>
  <si>
    <t>numbers</t>
  </si>
  <si>
    <t>Winning numbers</t>
  </si>
  <si>
    <t>SMALLINT[]</t>
  </si>
  <si>
    <t>{1,6,17,27,34,43}</t>
  </si>
  <si>
    <t>GIN index applied</t>
  </si>
  <si>
    <t>bonus_numbers</t>
  </si>
  <si>
    <t>Bonus numbers</t>
  </si>
  <si>
    <t>Loto6:1, Loto7:2, Mini:1</t>
  </si>
  <si>
    <t>carryover_yen</t>
  </si>
  <si>
    <t>Carryover amount</t>
  </si>
  <si>
    <t>BIGINT</t>
  </si>
  <si>
    <t>0</t>
  </si>
  <si>
    <t>Unit: JPY</t>
  </si>
  <si>
    <t>total_sales_yen</t>
  </si>
  <si>
    <t>Total sales</t>
  </si>
  <si>
    <t>payment_period_start</t>
  </si>
  <si>
    <t>Payment period start</t>
  </si>
  <si>
    <t>payment_period_end</t>
  </si>
  <si>
    <t>Payment period end</t>
  </si>
  <si>
    <t>source</t>
  </si>
  <si>
    <t>Data source</t>
  </si>
  <si>
    <t>50</t>
  </si>
  <si>
    <t>'mizuho', 'manual'</t>
  </si>
  <si>
    <t>raw_html</t>
  </si>
  <si>
    <t>Raw HTML</t>
  </si>
  <si>
    <t>TEXT</t>
  </si>
  <si>
    <t>Snapshot for debugging</t>
  </si>
  <si>
    <t>CREATE TABLE draws (
  id BIGSERIAL PRIMARY KEY,
  lottery_type_id SMALLINT REFERENCES lottery_types(id),
  draw_number INT NOT NULL,
  drawn_at DATE NOT NULL,
  venue VARCHAR(100),                    -- Drawing venue
  numbers SMALLINT[] NOT NULL,           -- e.g., {1,6,17,27,34,43}
  bonus_numbers SMALLINT[],              -- Loto6:1, Loto7:2, Mini:1
  carryover_yen BIGINT DEFAULT 0,        -- Carryover
  total_sales_yen BIGINT,                -- Total sales
  payment_period_start DATE,             -- Payment period start
  payment_period_end DATE,               -- Payment period end
  source VARCHAR(50),                    -- 'mizuho', 'manual'
  raw_html TEXT,                         -- Snapshot for debug
  UNIQUE (lottery_type_id, draw_number)
);
CREATE INDEX idx_draws_numbers_gin ON draws USING GIN (numbers);</t>
  </si>
  <si>
    <t>draw_prizes</t>
  </si>
  <si>
    <t>Prize breakdown per draw (by tier)</t>
  </si>
  <si>
    <t>draw_id</t>
  </si>
  <si>
    <t>Draw ID</t>
  </si>
  <si>
    <t>draws(id) ON DELETE CASCADE</t>
  </si>
  <si>
    <t>tier</t>
  </si>
  <si>
    <t>Prize tier</t>
  </si>
  <si>
    <t>1 = 1st, 2 = 2nd ...</t>
  </si>
  <si>
    <t>UNIQUE (draw_id, tier)</t>
  </si>
  <si>
    <t>winners_count</t>
  </si>
  <si>
    <t>Number of winners</t>
  </si>
  <si>
    <t>prize_amount_yen</t>
  </si>
  <si>
    <t>Prize amount each</t>
  </si>
  <si>
    <t>CREATE TABLE draw_prizes (
  id BIGSERIAL PRIMARY KEY,
  draw_id BIGINT REFERENCES draws(id) ON DELETE CASCADE,
  tier SMALLINT NOT NULL,                -- 1=1st, 2=2nd, ...
  winners_count INT NOT NULL,            -- number of winners
  prize_amount_yen BIGINT NOT NULL,      -- amount per winner
  UNIQUE (draw_id, tier)
);</t>
  </si>
  <si>
    <t>users</t>
  </si>
  <si>
    <t>User accounts &amp; authentication</t>
  </si>
  <si>
    <t>email</t>
  </si>
  <si>
    <t>Email address</t>
  </si>
  <si>
    <t>CITEXT</t>
  </si>
  <si>
    <t>UNIQUE / case-insensitive</t>
  </si>
  <si>
    <t>password_hash</t>
  </si>
  <si>
    <t>Password hash</t>
  </si>
  <si>
    <t>email_verified</t>
  </si>
  <si>
    <t>Email verified flag</t>
  </si>
  <si>
    <t>BOOLEAN</t>
  </si>
  <si>
    <t>FALSE</t>
  </si>
  <si>
    <t>role</t>
  </si>
  <si>
    <t>'free', 'premium', 'admin'</t>
  </si>
  <si>
    <t>'free'</t>
  </si>
  <si>
    <t>premium_until</t>
  </si>
  <si>
    <t>Premium expiry</t>
  </si>
  <si>
    <t>TIMESTAMPTZ</t>
  </si>
  <si>
    <t>locale</t>
  </si>
  <si>
    <t>Locale</t>
  </si>
  <si>
    <t>5</t>
  </si>
  <si>
    <t>'ja', 'en' ...</t>
  </si>
  <si>
    <t>'ja'</t>
  </si>
  <si>
    <t>created_at</t>
  </si>
  <si>
    <t>Created at</t>
  </si>
  <si>
    <t>NOW()</t>
  </si>
  <si>
    <t>CREATE TABLE users (
  id BIGSERIAL PRIMARY KEY,
  email CITEXT UNIQUE NOT NULL,
  password_hash TEXT,
  email_verified BOOLEAN DEFAULT FALSE,
  role VARCHAR(20) DEFAULT 'free',       -- 'free', 'premium', 'admin'
  premium_until TIMESTAMPTZ,
  locale VARCHAR(5) DEFAULT 'ja',
  created_at TIMESTAMPTZ DEFAULT NOW()
);</t>
  </si>
  <si>
    <t>user_plays</t>
  </si>
  <si>
    <t>User play history (challenges)</t>
  </si>
  <si>
    <t>user_id</t>
  </si>
  <si>
    <t>User ID</t>
  </si>
  <si>
    <t>users(id)</t>
  </si>
  <si>
    <t>Implicit reference</t>
  </si>
  <si>
    <t>chosen_numbers</t>
  </si>
  <si>
    <t>Chosen numbers</t>
  </si>
  <si>
    <t>{3,12,19,22,30,41}</t>
  </si>
  <si>
    <t>Reference draw ID</t>
  </si>
  <si>
    <t>draws(id)</t>
  </si>
  <si>
    <t>Draw to compare against</t>
  </si>
  <si>
    <t>match_count</t>
  </si>
  <si>
    <t>Match count</t>
  </si>
  <si>
    <t>matched_tier</t>
  </si>
  <si>
    <t>Matched Tier</t>
  </si>
  <si>
    <t>points_earned</t>
  </si>
  <si>
    <t>Points earned</t>
  </si>
  <si>
    <t>played_at</t>
  </si>
  <si>
    <t>Played at</t>
  </si>
  <si>
    <t>matched_at</t>
  </si>
  <si>
    <t>Matched at</t>
  </si>
  <si>
    <t>CREATE TABLE user_plays (
  id BIGSERIAL PRIMARY KEY,
  user_id BIGINT REFERENCES users(id),
  lottery_type_id SMALLINT REFERENCES lottery_types(id),
  chosen_numbers SMALLINT[] NOT NULL,
  draw_id BIGINT REFERENCES draws(id),      -- NULL = chưa quay, filled sau khi match
  match_count SMALLINT,                     -- NULL = chưa đối chiếu
  matched_tier SMALLINT,                    -- NULL, hoặc 1~6 (hạng trúng)
  points_earned INT DEFAULT 0,
  played_at TIMESTAMPTZ DEFAULT NOW(),
  matched_at TIMESTAMPTZ                    -- thời điểm đối chiếu
);</t>
  </si>
  <si>
    <t>saved_sets</t>
  </si>
  <si>
    <t>User-saved number sets</t>
  </si>
  <si>
    <t>name</t>
  </si>
  <si>
    <t>Set name</t>
  </si>
  <si>
    <t>My Favorite 1</t>
  </si>
  <si>
    <t>Numbers</t>
  </si>
  <si>
    <t>CREATE TABLE saved_sets (
  id BIGSERIAL PRIMARY KEY,
  user_id BIGINT REFERENCES users(id),
  lottery_type_id SMALLINT,
  name VARCHAR(100),
  numbers SMALLINT[],
  created_at TIMESTAMPTZ DEFAULT NOW()
);</t>
  </si>
  <si>
    <t>point_ledger</t>
  </si>
  <si>
    <t>Point ledger (for leaderboard)</t>
  </si>
  <si>
    <t>delta</t>
  </si>
  <si>
    <t>Point delta</t>
  </si>
  <si>
    <t>+10 / -5</t>
  </si>
  <si>
    <t>Positive = add, negative = subtract</t>
  </si>
  <si>
    <t>reason</t>
  </si>
  <si>
    <t>Reason</t>
  </si>
  <si>
    <t>'play_match', 'bonus' ...</t>
  </si>
  <si>
    <t>ref_play_id</t>
  </si>
  <si>
    <t>Referenced play ID</t>
  </si>
  <si>
    <t>References user_plays.id (optional)</t>
  </si>
  <si>
    <t>CREATE TABLE point_ledger (
  id BIGSERIAL PRIMARY KEY,
  user_id BIGINT REFERENCES users(id),
  delta INT,
  reason VARCHAR(50),
  ref_play_id BIGINT,
  created_at TIMESTAMPTZ DEFAULT NOW()
);</t>
  </si>
  <si>
    <t>subscriptions</t>
  </si>
  <si>
    <t>Premium subscriptions (Stripe)</t>
  </si>
  <si>
    <t>stripe_sub_id</t>
  </si>
  <si>
    <t>Stripe subscription ID</t>
  </si>
  <si>
    <t>sub_xxxxxxxxxxxxxx</t>
  </si>
  <si>
    <t>Stripe-side ID</t>
  </si>
  <si>
    <t>status</t>
  </si>
  <si>
    <t>'active', 'canceled', 'past_due' ...</t>
  </si>
  <si>
    <t>current_period_end</t>
  </si>
  <si>
    <t>Current period end</t>
  </si>
  <si>
    <t>CREATE TABLE subscriptions (
  id BIGSERIAL PRIMARY KEY,
  user_id BIGINT REFERENCES users(id),
  stripe_sub_id VARCHAR(100),
  status VARCHAR(20),
  current_period_end TIMESTAMPTZ,
  created_at TIMESTAMPTZ DEFAULT NOW()
);</t>
  </si>
  <si>
    <t>Sprint Backlog — 4 sprint × 2 tuần</t>
  </si>
  <si>
    <t>Task ID</t>
  </si>
  <si>
    <t>Task</t>
  </si>
  <si>
    <t>Type</t>
  </si>
  <si>
    <t>Linked (Feature/Screen/API)</t>
  </si>
  <si>
    <t>Assignee</t>
  </si>
  <si>
    <t>Story Pt</t>
  </si>
  <si>
    <t>% Done</t>
  </si>
  <si>
    <t>T-001</t>
  </si>
  <si>
    <t>Setup</t>
  </si>
  <si>
    <t>Setup monorepo (FE + BE), conventional commits</t>
  </si>
  <si>
    <t>Infra</t>
  </si>
  <si>
    <t>T-002</t>
  </si>
  <si>
    <t>Dockerize FE + BE + Postgres + Redis</t>
  </si>
  <si>
    <t>T-003</t>
  </si>
  <si>
    <t>CI/CD: GitHub Actions (lint + test + build)</t>
  </si>
  <si>
    <t>T-004</t>
  </si>
  <si>
    <t>DB</t>
  </si>
  <si>
    <t>ERD + migration v1 (user, results, plays, sets)</t>
  </si>
  <si>
    <t>Backend</t>
  </si>
  <si>
    <t>T-005</t>
  </si>
  <si>
    <t>Auth-BE</t>
  </si>
  <si>
    <t>Register API + verify token</t>
  </si>
  <si>
    <t>F-001, API-001, API-002</t>
  </si>
  <si>
    <t>T-006</t>
  </si>
  <si>
    <t>Login + JWT + Remember Me</t>
  </si>
  <si>
    <t>F-002, API-003, API-004</t>
  </si>
  <si>
    <t>T-007</t>
  </si>
  <si>
    <t>Forgot/Reset password</t>
  </si>
  <si>
    <t>F-003, API-006, API-007</t>
  </si>
  <si>
    <t>T-008</t>
  </si>
  <si>
    <t>Auth-FE</t>
  </si>
  <si>
    <t>Register + Email verification screens</t>
  </si>
  <si>
    <t>Frontend</t>
  </si>
  <si>
    <t>T-009</t>
  </si>
  <si>
    <t>Login + Forgot/Reset screens</t>
  </si>
  <si>
    <t>S-012, S-013, S-014</t>
  </si>
  <si>
    <t>T-010</t>
  </si>
  <si>
    <t>Crawler Mizuho (Loto 6/7/Mini) + cron</t>
  </si>
  <si>
    <t>mizuhobank.co.jp</t>
  </si>
  <si>
    <t>T-011</t>
  </si>
  <si>
    <t>Initial import 1,400+ kỳ + validate</t>
  </si>
  <si>
    <t>Spot-check 10%</t>
  </si>
  <si>
    <t>T-012</t>
  </si>
  <si>
    <t>Admin API nhập tay (CRUD)</t>
  </si>
  <si>
    <t>F-051, API-103..105</t>
  </si>
  <si>
    <t>T-013</t>
  </si>
  <si>
    <t>Admin UI: lottery result management</t>
  </si>
  <si>
    <t>T-Q01</t>
  </si>
  <si>
    <t>[QA]</t>
  </si>
  <si>
    <t>Setup testing framework: Jest (FE), Pytest (BE), Playwright, k6</t>
  </si>
  <si>
    <t>Foundation. CI tự chạy</t>
  </si>
  <si>
    <t>T-Q02</t>
  </si>
  <si>
    <t>Setup staging environment + seed test data</t>
  </si>
  <si>
    <t xml:space="preserve">Domain </t>
  </si>
  <si>
    <t>T-Q03</t>
  </si>
  <si>
    <t>Viết Definition of Done + bug severity guideline + PR checklist</t>
  </si>
  <si>
    <t>Reference: sheet 8</t>
  </si>
  <si>
    <t>T-Q04</t>
  </si>
  <si>
    <t>Unit test: Auth module (BE) — coverage &gt; 80%</t>
  </si>
  <si>
    <t>F-001..003, F-105</t>
  </si>
  <si>
    <t>DoD: every API has unit test</t>
  </si>
  <si>
    <t>T-Q05</t>
  </si>
  <si>
    <t>Integration test: Crawler + import flow</t>
  </si>
  <si>
    <t>F-050, T-010</t>
  </si>
  <si>
    <t>T-Q06</t>
  </si>
  <si>
    <t>Smoke test Sprint 1 + sign-off</t>
  </si>
  <si>
    <t>T-020</t>
  </si>
  <si>
    <t>Play-BE</t>
  </si>
  <si>
    <t>POST /plays + validate (rule chọn số)</t>
  </si>
  <si>
    <t>F-010..012, API-030</t>
  </si>
  <si>
    <t>T-021</t>
  </si>
  <si>
    <t>Cron đối chiếu kết quả + tính match</t>
  </si>
  <si>
    <t>F-010..012, F-060</t>
  </si>
  <si>
    <t>T-022</t>
  </si>
  <si>
    <t>Point system v1 + persist history</t>
  </si>
  <si>
    <t>T-023</t>
  </si>
  <si>
    <t>Play-FE</t>
  </si>
  <si>
    <t>Picker Loto 6 (number picker UI)</t>
  </si>
  <si>
    <t>T-024</t>
  </si>
  <si>
    <t>Reuse picker cho Loto 7 + Mini</t>
  </si>
  <si>
    <t>S-022, S-023</t>
  </si>
  <si>
    <t>T-025</t>
  </si>
  <si>
    <t>Free tier limit 3 lần/ngày (FE + BE)</t>
  </si>
  <si>
    <t>Full</t>
  </si>
  <si>
    <t>T-026</t>
  </si>
  <si>
    <t>Freq-BE</t>
  </si>
  <si>
    <t>Subset query algorithm (Combination Frequency Engine)</t>
  </si>
  <si>
    <t>F-020, API-040</t>
  </si>
  <si>
    <t>Target P95 &lt; 200ms</t>
  </si>
  <si>
    <t>T-027</t>
  </si>
  <si>
    <t>Redis cache hot combos (top 1000) + TTL</t>
  </si>
  <si>
    <t>T-028</t>
  </si>
  <si>
    <t>Freq-FE</t>
  </si>
  <si>
    <t>Realtime counter trong picker</t>
  </si>
  <si>
    <t>Polling fallback</t>
  </si>
  <si>
    <t>T-029</t>
  </si>
  <si>
    <t>Free vs Premium gating ở picker (blur sau 3 số)</t>
  </si>
  <si>
    <t>F-021, F-022</t>
  </si>
  <si>
    <t>T-Q07</t>
  </si>
  <si>
    <t>Unit test: Frequency engine — CRITICAL signature feature</t>
  </si>
  <si>
    <t>F-020, F-105</t>
  </si>
  <si>
    <t>Edge: empty, dup, out-of-range</t>
  </si>
  <si>
    <t>T-Q08</t>
  </si>
  <si>
    <t>Performance test baseline: Frequency endpoint</t>
  </si>
  <si>
    <t>F-020, F-102</t>
  </si>
  <si>
    <t>k6: 50 RPS, verify P95 &lt; 200ms</t>
  </si>
  <si>
    <t>T-Q09</t>
  </si>
  <si>
    <t>E2E test: Auth happy path (Playwright)</t>
  </si>
  <si>
    <t>F-001..003, F-106</t>
  </si>
  <si>
    <t>T-Q10</t>
  </si>
  <si>
    <t>E2E test: Play submission + đối chiếu (Loto 6)</t>
  </si>
  <si>
    <t>F-010, F-106</t>
  </si>
  <si>
    <t>T-Q11</t>
  </si>
  <si>
    <t>Edge case test: invalid numbers, network drop, concurrent submit</t>
  </si>
  <si>
    <t>F-010..013</t>
  </si>
  <si>
    <t>T-Q12</t>
  </si>
  <si>
    <t>Regression test Sprint 1 + Bug bash trước demo</t>
  </si>
  <si>
    <t>1 buổi bug bash</t>
  </si>
  <si>
    <t>T-030</t>
  </si>
  <si>
    <t>Demo</t>
  </si>
  <si>
    <t>Chuẩn bị demo nội bộ tuần 4 + slide tổng kết</t>
  </si>
  <si>
    <t>MILESTONE</t>
  </si>
  <si>
    <t>T-040</t>
  </si>
  <si>
    <t>My Page + Edit profile + Change password</t>
  </si>
  <si>
    <t>S-030..032, API-010..012</t>
  </si>
  <si>
    <t>T-041</t>
  </si>
  <si>
    <t>Play History + Detail + filter</t>
  </si>
  <si>
    <t>S-033, S-034, API-031, 032</t>
  </si>
  <si>
    <t>T-042</t>
  </si>
  <si>
    <t>Saved sets CRUD + UI</t>
  </si>
  <si>
    <t>F-014, S-040, S-041</t>
  </si>
  <si>
    <t>T-043</t>
  </si>
  <si>
    <t>Leaderb</t>
  </si>
  <si>
    <t>Leaderboard API + UI</t>
  </si>
  <si>
    <t>F-061, S-050, API-070</t>
  </si>
  <si>
    <t>T-044</t>
  </si>
  <si>
    <t>Stats-BE</t>
  </si>
  <si>
    <t>Hot/Cold + Distribution API</t>
  </si>
  <si>
    <t>F-030..032, API-050, 051</t>
  </si>
  <si>
    <t>T-045</t>
  </si>
  <si>
    <t>Stats-FE</t>
  </si>
  <si>
    <t>Stats dashboard UI</t>
  </si>
  <si>
    <t>S-070..S-072</t>
  </si>
  <si>
    <t>T-046</t>
  </si>
  <si>
    <t>Heatmap visualization (Premium)</t>
  </si>
  <si>
    <t>F-033, S-073, API-052</t>
  </si>
  <si>
    <t>T-047</t>
  </si>
  <si>
    <t>Lottery Result History + Detail + search</t>
  </si>
  <si>
    <t>S-060, S-061, API-020..022</t>
  </si>
  <si>
    <t>T-Q13</t>
  </si>
  <si>
    <t>Unit test: Stats calculations (hot/cold, distribution)</t>
  </si>
  <si>
    <t>F-030..032, F-105</t>
  </si>
  <si>
    <t>T-Q14</t>
  </si>
  <si>
    <t>E2E test: Full user journey (signup→play→history→leaderboard)</t>
  </si>
  <si>
    <t>T-Q15</t>
  </si>
  <si>
    <t>Cross-browser test (Chrome / Safari / Firefox)</t>
  </si>
  <si>
    <t>Manual + BrowserStack</t>
  </si>
  <si>
    <t>T-Q16</t>
  </si>
  <si>
    <t>Mobile responsive test trên thiết bị thật (iOS/Android)</t>
  </si>
  <si>
    <t>T-Q17</t>
  </si>
  <si>
    <t>Visual regression test cho charts + heatmap (Percy/Chromatic)</t>
  </si>
  <si>
    <t>T-Q18</t>
  </si>
  <si>
    <t>Bug bash + regression Sprint 1+2+3</t>
  </si>
  <si>
    <t>T-050</t>
  </si>
  <si>
    <t>Admin Dashboard + User Management</t>
  </si>
  <si>
    <t>F-090, S-101, S-102</t>
  </si>
  <si>
    <t>T-051</t>
  </si>
  <si>
    <t>Crawler Status &amp; Logs UI</t>
  </si>
  <si>
    <t>F-092, S-104</t>
  </si>
  <si>
    <t>T-052</t>
  </si>
  <si>
    <t>Premium gating middleware (RBAC + per-feature)</t>
  </si>
  <si>
    <t>T-053</t>
  </si>
  <si>
    <t>Premium upgrade flow (UI placeholder)</t>
  </si>
  <si>
    <t>F-070, S-080, S-081</t>
  </si>
  <si>
    <t>Payment thật P2</t>
  </si>
  <si>
    <t>T-054</t>
  </si>
  <si>
    <t>Notification Center basic</t>
  </si>
  <si>
    <t>S-090, API-090, API-091</t>
  </si>
  <si>
    <t>T-055</t>
  </si>
  <si>
    <t>Polish</t>
  </si>
  <si>
    <t>UI/UX polish + responsive review</t>
  </si>
  <si>
    <t>T-056</t>
  </si>
  <si>
    <t>i18n</t>
  </si>
  <si>
    <t>i18n VI/JA</t>
  </si>
  <si>
    <t>T-057</t>
  </si>
  <si>
    <t>Production deploy (Vercel + AWS/Render) + domain + SSL</t>
  </si>
  <si>
    <t>T-058</t>
  </si>
  <si>
    <t>Monitoring: Sentry + uptime + alerts</t>
  </si>
  <si>
    <t>T-Q19</t>
  </si>
  <si>
    <t>Regression Premium gating: cover toàn bộ 11 mục Free vs Premium</t>
  </si>
  <si>
    <t>F-070, F-013..014..021..</t>
  </si>
  <si>
    <t>Critical for revenue</t>
  </si>
  <si>
    <t>T-Q20</t>
  </si>
  <si>
    <t>Load test: 100 RPS Frequency + 50 RPS các endpoint còn lại</t>
  </si>
  <si>
    <t>k6 / Locust</t>
  </si>
  <si>
    <t>T-Q21</t>
  </si>
  <si>
    <t>Security scan: OWASP ZAP + dependency audit (npm/pip)</t>
  </si>
  <si>
    <t>0 high vuln</t>
  </si>
  <si>
    <t>T-Q22</t>
  </si>
  <si>
    <t>i18n test (VI + JA): text overflow, encoding, date/number format</t>
  </si>
  <si>
    <t>Native JP reviewer 1 buổi</t>
  </si>
  <si>
    <t>T-Q23</t>
  </si>
  <si>
    <t>UAT formal với sponsor (anh Hùng) — 1 buổi + recorder</t>
  </si>
  <si>
    <t>MILESTONE. Sign-off required</t>
  </si>
  <si>
    <t>T-Q24</t>
  </si>
  <si>
    <t>Production smoke test sau deploy (15 min checklist)</t>
  </si>
  <si>
    <t>T-Q25</t>
  </si>
  <si>
    <t>Rollback drill: rollback prod về v0, restore data, verify</t>
  </si>
  <si>
    <t>BE + PM</t>
  </si>
  <si>
    <t>Trước go-live 1 ngày</t>
  </si>
  <si>
    <t>T-059</t>
  </si>
  <si>
    <t>Final bug bash + bug fix sprint</t>
  </si>
  <si>
    <t>T-061</t>
  </si>
  <si>
    <t>Launch</t>
  </si>
  <si>
    <t>Soft launch v1.0 + monitor 48h hypercare</t>
  </si>
  <si>
    <t>TỔNG STORY POINTS:</t>
  </si>
  <si>
    <t>DONE STORY POINTS:</t>
  </si>
  <si>
    <t>% TIẾN ĐỘ TOÀN DỰ ÁN:</t>
  </si>
  <si>
    <t>QA STORY POINTS:</t>
  </si>
  <si>
    <t>% QA / TỔNG:</t>
  </si>
  <si>
    <t>Test Strategy — pyramid, DoD, environments, release checklist</t>
  </si>
  <si>
    <t>1. TEST PYRAMID — phân bổ effort &amp; quy mô</t>
  </si>
  <si>
    <t>Layer</t>
  </si>
  <si>
    <t>Tỷ trọng test</t>
  </si>
  <si>
    <t>Tool</t>
  </si>
  <si>
    <t>Tốc độ chạy</t>
  </si>
  <si>
    <t>Khi nào chạy</t>
  </si>
  <si>
    <t>Unit tests</t>
  </si>
  <si>
    <t>~65% (nhiều nhất, nhanh nhất)</t>
  </si>
  <si>
    <t>Jest (FE) / Pytest (BE)</t>
  </si>
  <si>
    <t>Giây</t>
  </si>
  <si>
    <t>Dev tự viết theo DoD</t>
  </si>
  <si>
    <t>Mỗi commit, CI</t>
  </si>
  <si>
    <t>Integration / API tests</t>
  </si>
  <si>
    <t>~25%</t>
  </si>
  <si>
    <t>Pytest + httpx / Supertest</t>
  </si>
  <si>
    <t>Phút</t>
  </si>
  <si>
    <t>BE + PM/QA pair</t>
  </si>
  <si>
    <t>Mỗi PR, CI</t>
  </si>
  <si>
    <t>E2E tests</t>
  </si>
  <si>
    <t>~10% (ít, chậm, brittle)</t>
  </si>
  <si>
    <t>Playwright</t>
  </si>
  <si>
    <t>Vài phút</t>
  </si>
  <si>
    <t>Trước merge main, nightly</t>
  </si>
  <si>
    <t>Performance / Load</t>
  </si>
  <si>
    <t>Continuous monitor</t>
  </si>
  <si>
    <t>k6 hoặc Locust</t>
  </si>
  <si>
    <t>Phút–giờ</t>
  </si>
  <si>
    <t>BE + PM/QA</t>
  </si>
  <si>
    <t>Sprint 2 (baseline) + Sprint 4 (full)</t>
  </si>
  <si>
    <t>Security scan</t>
  </si>
  <si>
    <t>Mỗi PR + manual cuối phase</t>
  </si>
  <si>
    <t>OWASP ZAP, npm audit, pip-audit</t>
  </si>
  <si>
    <t>Mỗi PR + cuối phase</t>
  </si>
  <si>
    <t>Manual exploratory</t>
  </si>
  <si>
    <t>1 buổi/sprint</t>
  </si>
  <si>
    <t>1–2h/lần</t>
  </si>
  <si>
    <t>PM/QA + dev rotate</t>
  </si>
  <si>
    <t>Cuối mỗi sprint</t>
  </si>
  <si>
    <t>UAT</t>
  </si>
  <si>
    <t>1 buổi cuối dự án</t>
  </si>
  <si>
    <t>1 buổi</t>
  </si>
  <si>
    <t>Sponsor + PM</t>
  </si>
  <si>
    <t>Sprint 4 trước go-live</t>
  </si>
  <si>
    <t>2. DEFINITION OF DONE — checklist cho mỗi task</t>
  </si>
  <si>
    <t>☐ Code complete và đã self-review</t>
  </si>
  <si>
    <t>☐ Unit test viết và pass (coverage tăng hoặc giữ nguyên, target &gt; 70%)</t>
  </si>
  <si>
    <t>☐ Integration test viết cho API mới (nếu có)</t>
  </si>
  <si>
    <t>☐ Linter pass (eslint / pylint / mypy)</t>
  </si>
  <si>
    <t>☐ Đã có 1 reviewer approve PR (tối thiểu)</t>
  </si>
  <si>
    <t>☐ Cập nhật API doc (Swagger/OpenAPI) nếu thay đổi endpoint</t>
  </si>
  <si>
    <t>☐ Cập nhật README nếu thêm env var, migration, command mới</t>
  </si>
  <si>
    <t>☐ Manual test trên staging 1 lần</t>
  </si>
  <si>
    <t>☐ Acceptance criteria của story được verify</t>
  </si>
  <si>
    <t>☐ Cập nhật status + % done trong sheet Sprint Backlog</t>
  </si>
  <si>
    <t>☐ Không tạo P1/P2 bug mới (verify qua regression test)</t>
  </si>
  <si>
    <t>3. ENVIRONMENTS — môi trường test</t>
  </si>
  <si>
    <t>Env</t>
  </si>
  <si>
    <t>URL pattern</t>
  </si>
  <si>
    <t>Data</t>
  </si>
  <si>
    <t>Auto-deploy</t>
  </si>
  <si>
    <t>Ai dùng</t>
  </si>
  <si>
    <t>Local</t>
  </si>
  <si>
    <t>localhost:3000 / :8000</t>
  </si>
  <si>
    <t>Docker compose + seed</t>
  </si>
  <si>
    <t>Dev/Staging</t>
  </si>
  <si>
    <t>Vercel</t>
  </si>
  <si>
    <t>Subset prod data (anonymized)</t>
  </si>
  <si>
    <t>Mỗi merge main</t>
  </si>
  <si>
    <t>PM/QA, anh Hùng review</t>
  </si>
  <si>
    <t>UAT (tùy)</t>
  </si>
  <si>
    <t>Full prod-like data</t>
  </si>
  <si>
    <t>Manual trigger</t>
  </si>
  <si>
    <t>Sponsor, beta user</t>
  </si>
  <si>
    <t>Production</t>
  </si>
  <si>
    <t>Real data</t>
  </si>
  <si>
    <t>Manual approval</t>
  </si>
  <si>
    <t>End user</t>
  </si>
  <si>
    <t>4. BUG SEVERITY — phân loại để triage</t>
  </si>
  <si>
    <t>Severity</t>
  </si>
  <si>
    <t>Định nghĩa</t>
  </si>
  <si>
    <t>Ví dụ</t>
  </si>
  <si>
    <t>Response time</t>
  </si>
  <si>
    <t>Phải fix trước</t>
  </si>
  <si>
    <t>P1 — Critical</t>
  </si>
  <si>
    <t>App down, mất data, security vuln, không thể dùng feature chính</t>
  </si>
  <si>
    <t>Login 500, frequency engine sai số, data leak</t>
  </si>
  <si>
    <t>&lt; 4h</t>
  </si>
  <si>
    <t>Phase exit / go-live</t>
  </si>
  <si>
    <t>P2 — High</t>
  </si>
  <si>
    <t>Feature chính hoạt động lỗi, có workaround</t>
  </si>
  <si>
    <t>Save set không lưu, leaderboard sai thứ tự</t>
  </si>
  <si>
    <t>&lt; 24h</t>
  </si>
  <si>
    <t>Phase exit</t>
  </si>
  <si>
    <t>P3 — Medium</t>
  </si>
  <si>
    <t>Lỗi nhỏ, UX khó chịu, edge case</t>
  </si>
  <si>
    <t>Toast message sai chính tả, layout vỡ ở browser cũ</t>
  </si>
  <si>
    <t>&lt; 1 sprint</t>
  </si>
  <si>
    <t>Trước launch</t>
  </si>
  <si>
    <t>P4 — Low</t>
  </si>
  <si>
    <t>Cosmetic, nice-to-have</t>
  </si>
  <si>
    <t>Margin lệch 2px, typo nhỏ</t>
  </si>
  <si>
    <t>Backlog</t>
  </si>
  <si>
    <t>Có thể slip</t>
  </si>
  <si>
    <t>5. TEST DATA STRATEGY</t>
  </si>
  <si>
    <t>• Seed script tạo: 5 user (1 admin, 2 free, 2 premium), 100 kỳ lottery history, 20 saved sets, 50 plays</t>
  </si>
  <si>
    <t>• Anonymize: replace real email bằng @example.com pattern</t>
  </si>
  <si>
    <t>• Reset state: trước mỗi E2E test, gọi /api/test/reset (chỉ available trên dev/staging)</t>
  </si>
  <si>
    <t>• Edge data: 1 user với 0 plays, 1 user 1000+ plays, lottery result với 0 winners, draw với jackpot kỷ lục</t>
  </si>
  <si>
    <t>• Time data: kỳ quay quá khứ, hiện tại, tương lai — để test scheduling</t>
  </si>
  <si>
    <t>6. RELEASE CHECKLIST — phải check 100% trước go-live</t>
  </si>
  <si>
    <t>☐ Tất cả Must features: Status = Done</t>
  </si>
  <si>
    <t>☐ Code coverage tổng &gt; 70% (BE) và &gt; 60% (FE)</t>
  </si>
  <si>
    <t>☐ E2E test suite chạy xanh trên staging</t>
  </si>
  <si>
    <t>☐ Performance test: P95 &lt; 300ms, P99 &lt; 500ms (Frequency P95 &lt; 200ms)</t>
  </si>
  <si>
    <t>☐ Security scan (OWASP ZAP): 0 high, 0 critical</t>
  </si>
  <si>
    <t>☐ Dependency audit: 0 high vuln</t>
  </si>
  <si>
    <t>☐ Bug count: 0 P1, ≤ 3 P2</t>
  </si>
  <si>
    <t>☐ Lighthouse score: Performance &gt; 80, Accessibility &gt; 90</t>
  </si>
  <si>
    <t>☐ Cross-browser test pass: Chrome, Safari, Firefox (mobile + desktop)</t>
  </si>
  <si>
    <t>☐ i18n test pass: VI + JA, không có text overflow</t>
  </si>
  <si>
    <t>☐ UAT với sponsor: sign-off</t>
  </si>
  <si>
    <t>☐ Rollback drill: thử rollback về v0 thành công trên staging</t>
  </si>
  <si>
    <t>☐ DB backup script chạy + verify restore được</t>
  </si>
  <si>
    <t>☐ Monitoring (Sentry, uptime) đã setup + test alert</t>
  </si>
  <si>
    <t>☐ DNS, SSL cert, CDN đã sẵn sàng</t>
  </si>
  <si>
    <t>☐ Privacy Policy + Terms of Service published</t>
  </si>
  <si>
    <t>☐ Status page / incident response process documented</t>
  </si>
  <si>
    <t>☐ Hypercare schedule: ai on-call ngày 1-7?</t>
  </si>
  <si>
    <t>☐ Post-launch survey + analytics tracking ready</t>
  </si>
  <si>
    <t>☐ Communication plan: gửi email/Slack ai khi có incident</t>
  </si>
  <si>
    <t>Bug Log — chi tiết bug + severity + verify</t>
  </si>
  <si>
    <t>Bug ID</t>
  </si>
  <si>
    <t>Date Reported</t>
  </si>
  <si>
    <t>Title</t>
  </si>
  <si>
    <t>Reproduce Steps</t>
  </si>
  <si>
    <t>Expected</t>
  </si>
  <si>
    <t>Actual</t>
  </si>
  <si>
    <t>Reporter</t>
  </si>
  <si>
    <t>Resolution</t>
  </si>
  <si>
    <t>BUG-001</t>
  </si>
  <si>
    <t>Ví dụ: Frequency response &gt; 500ms khi 50 RPS</t>
  </si>
  <si>
    <t>1. Run k6 load test 50 RPS
2. POST /api/frequency/check with random combos</t>
  </si>
  <si>
    <t>P95 &lt; 200ms</t>
  </si>
  <si>
    <t>P95 = 380ms</t>
  </si>
  <si>
    <t>New</t>
  </si>
  <si>
    <t>THỐNG KÊ BUG:</t>
  </si>
  <si>
    <t>P1 (Critical)</t>
  </si>
  <si>
    <t>P2 (High)</t>
  </si>
  <si>
    <t>P3 (Medium)</t>
  </si>
  <si>
    <t>P4 (Low)</t>
  </si>
  <si>
    <t>Open total</t>
  </si>
  <si>
    <t>Fixed total</t>
  </si>
  <si>
    <t>Issue Log — vấn đề non-bug (blocker, dependency, infra)</t>
  </si>
  <si>
    <t>Ngày phát hiện</t>
  </si>
  <si>
    <t>Mô tả vấn đề</t>
  </si>
  <si>
    <t>Impact</t>
  </si>
  <si>
    <t>Hạn xử lý</t>
  </si>
  <si>
    <t>I-001</t>
  </si>
  <si>
    <t>Example</t>
  </si>
  <si>
    <t>Ví dụ: Mizuho website yêu cầu CAPTCHA → crawler bị chặn</t>
  </si>
  <si>
    <t>High</t>
  </si>
  <si>
    <t>Crawler không chạy được, phải nhập tay</t>
  </si>
  <si>
    <t>I-002</t>
  </si>
  <si>
    <t>Ví dụ: Designer chưa giao Figma cho admin panel → FE block</t>
  </si>
  <si>
    <t>Medium</t>
  </si>
  <si>
    <t>FE Sprint 4 delay</t>
  </si>
  <si>
    <t>Risk Log — rủi ro tiềm ẩn (review mỗi 2 tuần)</t>
  </si>
  <si>
    <t>Mô tả rủi ro</t>
  </si>
  <si>
    <t>Loại</t>
  </si>
  <si>
    <t>Xác suất</t>
  </si>
  <si>
    <t>Tác động</t>
  </si>
  <si>
    <t>Score</t>
  </si>
  <si>
    <t>Contingency</t>
  </si>
  <si>
    <t>Technical</t>
  </si>
  <si>
    <t>9</t>
  </si>
  <si>
    <t>Monitoring + alert; XPath ổn định; weekly health check</t>
  </si>
  <si>
    <t>Admin nhập tay 1-2 ngày; thuê dev hotfix</t>
  </si>
  <si>
    <t>Frequency subset query chậm khi concurrent user tăng</t>
  </si>
  <si>
    <t>Performance</t>
  </si>
  <si>
    <t>Redis cache; index DB; pre-compute; perf test từ Sprint 2</t>
  </si>
  <si>
    <t>Tăng cache TTL; read replica</t>
  </si>
  <si>
    <t>R-03</t>
  </si>
  <si>
    <t>Business</t>
  </si>
  <si>
    <t>6</t>
  </si>
  <si>
    <t>A/B test paywall; trial 7 ngày; user survey</t>
  </si>
  <si>
    <t>Reduce price; add Premium features</t>
  </si>
  <si>
    <t>Resource</t>
  </si>
  <si>
    <t>Buffer; cross-train code review; document đầy đủ</t>
  </si>
  <si>
    <t>Hire freelancer; cắt non-Must scope</t>
  </si>
  <si>
    <t>WebSocket realtime phức tạp, mobile network drop</t>
  </si>
  <si>
    <t>Polling 1s fallback; reconnect logic; degraded mode</t>
  </si>
  <si>
    <t>Bỏ realtime, dùng polling thuần</t>
  </si>
  <si>
    <t>R-06</t>
  </si>
  <si>
    <t>i18n delay (translation chất lượng JP)</t>
  </si>
  <si>
    <t>Low</t>
  </si>
  <si>
    <t>3</t>
  </si>
  <si>
    <t>Native JP review; DeepL + edit; ship VI trước</t>
  </si>
  <si>
    <t>Slip EN Phase 2</t>
  </si>
  <si>
    <t>R-07</t>
  </si>
  <si>
    <t>Payment integration Stripe JP compliance phức tạp</t>
  </si>
  <si>
    <t>Defer Phase 2; P1 placeholder UI</t>
  </si>
  <si>
    <t>Pre-order list; charge thủ công P1</t>
  </si>
  <si>
    <t>R-08</t>
  </si>
  <si>
    <t>Mizuho rate-limit / chặn crawler IP</t>
  </si>
  <si>
    <t>Crawl 1 lần/ngày; respect robots; User-Agent đàng hoàng</t>
  </si>
  <si>
    <t>Đổi IP/proxy; nhập tay</t>
  </si>
  <si>
    <t>R-09</t>
  </si>
  <si>
    <t>Initial data 1,400+ kỳ chứa lỗi/thiếu</t>
  </si>
  <si>
    <t>Validate khi import; spot-check 10%; cross-check source 2</t>
  </si>
  <si>
    <t>Manual fix; flag suspicious records</t>
  </si>
  <si>
    <t>R-10</t>
  </si>
  <si>
    <t>PM kiêm QA = bottleneck, miss test case (MỚI)</t>
  </si>
  <si>
    <t>Quality</t>
  </si>
  <si>
    <t>12</t>
  </si>
  <si>
    <t>Test automation &gt; 60%; bug bash team-wide; UAT có sponsor</t>
  </si>
  <si>
    <t>Hire QA freelancer tuần 7-8; mở rộng beta tester</t>
  </si>
  <si>
    <t>Không có UAT formal → bug lọt production (MỚI)</t>
  </si>
  <si>
    <t>Schedule UAT 1 buổi với sponsor tuần 8; recorder lưu lại</t>
  </si>
  <si>
    <t>Soft launch nội bộ 50 user trước public</t>
  </si>
  <si>
    <t>R-12</t>
  </si>
  <si>
    <t>Frequency engine tính sai số do edge case → mất uy tín (MỚI)</t>
  </si>
  <si>
    <t>Unit test edge cases từ Sprint 2; manual cross-check 20 combos</t>
  </si>
  <si>
    <t>Tạm tắt feature; rollback; postmortem</t>
  </si>
  <si>
    <t>Test environment khác production → bug không reproduce (MỚI)</t>
  </si>
  <si>
    <t>Staging gần prod nhất có thể; same data shape; same configs</t>
  </si>
  <si>
    <t>Production smoke test 15 min sau deploy</t>
  </si>
  <si>
    <t>Decision Log — quyết định kỹ thuật/business quan trọng</t>
  </si>
  <si>
    <t>Ngày</t>
  </si>
  <si>
    <t>Lĩnh vực</t>
  </si>
  <si>
    <t>Quyết định</t>
  </si>
  <si>
    <t>Lý do / Trade-off</t>
  </si>
  <si>
    <t>Người quyết</t>
  </si>
  <si>
    <t>D-001</t>
  </si>
  <si>
    <t>Tech</t>
  </si>
  <si>
    <t>Backend: FastAPI</t>
  </si>
  <si>
    <t>FastAPI: dev nhanh, AI mạnh</t>
  </si>
  <si>
    <t>Áp dụng Sprint 1+</t>
  </si>
  <si>
    <t>D-002</t>
  </si>
  <si>
    <t>Realtime: WebSocket vs Polling 1s</t>
  </si>
  <si>
    <t>Polling đơn giản, đủ 200ms target.</t>
  </si>
  <si>
    <t>Frequency picker</t>
  </si>
  <si>
    <t>D-003</t>
  </si>
  <si>
    <t>Scope</t>
  </si>
  <si>
    <t>Payment: P1 placeholder, P2 thật</t>
  </si>
  <si>
    <t>Compliance Stripe JP phức tạp; validate product trước.</t>
  </si>
  <si>
    <t>Premium flow</t>
  </si>
  <si>
    <t>D-004</t>
  </si>
  <si>
    <t>Product</t>
  </si>
  <si>
    <t>Free tier: 3 lần chơi/ngày, 3 số picker, 1 saved</t>
  </si>
  <si>
    <t>Cân bằng hooked user vs lý do upgrade.</t>
  </si>
  <si>
    <t>Conversion rate</t>
  </si>
  <si>
    <t>D-005</t>
  </si>
  <si>
    <t>Ship VI + JA P1, EN slip P2</t>
  </si>
  <si>
    <t>EN không target chính; tiết kiệm 1 tuần.</t>
  </si>
  <si>
    <t>Sprint 4 scope</t>
  </si>
  <si>
    <t>D-006</t>
  </si>
  <si>
    <t>Test automation &gt; 60% (MỚI)</t>
  </si>
  <si>
    <t>PM kiêm QA → automation là bắt buộc, không phải optional.</t>
  </si>
  <si>
    <t>Sprint 1+</t>
  </si>
  <si>
    <t>D-007</t>
  </si>
  <si>
    <t>Coverage target: BE &gt; 70%, FE &gt; 60% (MỚI)</t>
  </si>
  <si>
    <t>Realistic cho team 3 người + dùng AI assist.</t>
  </si>
  <si>
    <t>DoD enforce</t>
  </si>
  <si>
    <t>Weekly Status Report — gửi manager mỗi thứ Sáu</t>
  </si>
  <si>
    <t>Tuần</t>
  </si>
  <si>
    <t>[VD: Tuần 3 (10/06–14/06)]</t>
  </si>
  <si>
    <t>[VD: Sprint 2 — Tuần 1/2]</t>
  </si>
  <si>
    <t>[Tên PM]</t>
  </si>
  <si>
    <t>Overall Health</t>
  </si>
  <si>
    <t>🟢 Green / 🟡 Yellow / 🔴 Red</t>
  </si>
  <si>
    <t>✅ HIGHLIGHTS — Đã làm được trong tuần</t>
  </si>
  <si>
    <t>• [VD] Hoàn thành Auth: register, login, JWT, forgot password — unit test pass 85%.</t>
  </si>
  <si>
    <t>• [VD] Crawler chạy auto 3 ngày liên tục, 0 lỗi.</t>
  </si>
  <si>
    <t>• [VD] Frequency engine perf test baseline: P95 = 180ms ✓ (target 200ms).</t>
  </si>
  <si>
    <t>⚠️ LOWLIGHTS / ISSUES</t>
  </si>
  <si>
    <t>• [VD] FE delay 1 ngày do Figma chưa hoàn thiện picker — đã catch up.</t>
  </si>
  <si>
    <t>• [VD] 2 bug P2 phát hiện trong bug bash — đã assign, fix tuần sau.</t>
  </si>
  <si>
    <t>• [VD] Crawler fail 1 lần ngày 12/06 do Mizuho đổi HTML — đã fix.</t>
  </si>
  <si>
    <t>📊 METRICS — auto từ Sprint Backlog</t>
  </si>
  <si>
    <t>Metric</t>
  </si>
  <si>
    <t>Giá trị</t>
  </si>
  <si>
    <t>Target</t>
  </si>
  <si>
    <t>Story points tổng dự án</t>
  </si>
  <si>
    <t>Story points đã done</t>
  </si>
  <si>
    <t>% Done toàn dự án</t>
  </si>
  <si>
    <t>Theo tuần</t>
  </si>
  <si>
    <t>Story points done tuần này (điền tay)</t>
  </si>
  <si>
    <t>Bug count: P1 / P2 / P3</t>
  </si>
  <si>
    <t>0 / 0 / 0</t>
  </si>
  <si>
    <t>0 P1, ≤ 3 P2</t>
  </si>
  <si>
    <t>Defect leak rate (UAT bugs / total bugs)</t>
  </si>
  <si>
    <t>&lt; 5%</t>
  </si>
  <si>
    <t>Code coverage (BE / FE)</t>
  </si>
  <si>
    <t>BE &gt; 70%, FE &gt; 60%</t>
  </si>
  <si>
    <t>Crash-free sessions</t>
  </si>
  <si>
    <t>&gt; 99%</t>
  </si>
  <si>
    <t>🚨 TOP RISKS — Cập nhật tuần này (chi tiết ở Risk Log)</t>
  </si>
  <si>
    <t>• [VD] R-02 Frequency performance — đang ổn định ở P95 = 180ms, theo dõi tiếp.</t>
  </si>
  <si>
    <t>• [VD] R-11 PM kiêm QA bottleneck — automation đã đạt 65%, on track.</t>
  </si>
  <si>
    <t>🤝 QUYẾT ĐỊNH CẦN STAKEHOLDER</t>
  </si>
  <si>
    <t>• [VD] Có thêm feature X vào P1 hay đẩy P2? Cần chốt thứ Hai tuần sau.</t>
  </si>
  <si>
    <t>📅 NEXT WEEK — Mục tiêu tuần tới</t>
  </si>
  <si>
    <t>• [VD] Hoàn thành Frequency engine + Redis cache.</t>
  </si>
  <si>
    <t>• [VD] FE: Real-time counter trong picker.</t>
  </si>
  <si>
    <t>• [VD] Chuẩn bị demo nội bộ cuối tuần với anh Hùng.</t>
  </si>
  <si>
    <t>• [VD] Bug bash 1 buổi thứ Năm.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</si>
</sst>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4">
    <font>
      <sz val="11.0"/>
      <color theme="1"/>
      <name val="Arial"/>
      <scheme val="minor"/>
    </font>
    <font>
      <b/>
      <sz val="18.0"/>
      <color rgb="FFFFFFFF"/>
      <name val="Calibri"/>
    </font>
    <font/>
    <font>
      <i/>
      <sz val="10.0"/>
      <color rgb="FF555555"/>
      <name val="Calibri"/>
    </font>
    <font>
      <b/>
      <sz val="12.0"/>
      <color rgb="FFFFFFFF"/>
      <name val="Calibri"/>
    </font>
    <font>
      <sz val="10.0"/>
      <color theme="1"/>
      <name val="Calibri"/>
    </font>
    <font>
      <i/>
      <sz val="11.0"/>
      <color rgb="FF555555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Arial"/>
    </font>
    <font>
      <sz val="10.0"/>
      <color theme="1"/>
      <name val="Arial"/>
    </font>
    <font>
      <sz val="9.0"/>
      <color theme="1"/>
      <name val="Consolas"/>
    </font>
  </fonts>
  <fills count="20">
    <fill>
      <patternFill patternType="none"/>
    </fill>
    <fill>
      <patternFill patternType="lightGray"/>
    </fill>
    <fill>
      <patternFill patternType="solid">
        <fgColor rgb="FF0D47A1"/>
        <bgColor rgb="FF0D47A1"/>
      </patternFill>
    </fill>
    <fill>
      <patternFill patternType="solid">
        <fgColor rgb="FF1565C0"/>
        <bgColor rgb="FF1565C0"/>
      </patternFill>
    </fill>
    <fill>
      <patternFill patternType="solid">
        <fgColor rgb="FFEEEEEE"/>
        <bgColor rgb="FFEEEEEE"/>
      </patternFill>
    </fill>
    <fill>
      <patternFill patternType="solid">
        <fgColor rgb="FFE53935"/>
        <bgColor rgb="FFE53935"/>
      </patternFill>
    </fill>
    <fill>
      <patternFill patternType="solid">
        <fgColor rgb="FF7B1FA2"/>
        <bgColor rgb="FF7B1FA2"/>
      </patternFill>
    </fill>
    <fill>
      <patternFill patternType="solid">
        <fgColor rgb="FF66B2D1"/>
        <bgColor rgb="FF66B2D1"/>
      </patternFill>
    </fill>
    <fill>
      <patternFill patternType="solid">
        <fgColor rgb="FFC8E6C9"/>
        <bgColor rgb="FFC8E6C9"/>
      </patternFill>
    </fill>
    <fill>
      <patternFill patternType="solid">
        <fgColor rgb="FFFFE082"/>
        <bgColor rgb="FFFFE082"/>
      </patternFill>
    </fill>
    <fill>
      <patternFill patternType="solid">
        <fgColor rgb="FFE1BEE7"/>
        <bgColor rgb="FFE1BEE7"/>
      </patternFill>
    </fill>
    <fill>
      <patternFill patternType="solid">
        <fgColor rgb="FFFFCDD2"/>
        <bgColor rgb="FFFFCDD2"/>
      </patternFill>
    </fill>
    <fill>
      <patternFill patternType="solid">
        <fgColor rgb="FFFFE0B2"/>
        <bgColor rgb="FFFFE0B2"/>
      </patternFill>
    </fill>
    <fill>
      <patternFill patternType="solid">
        <fgColor rgb="FFFFF9C4"/>
        <bgColor rgb="FFFFF9C4"/>
      </patternFill>
    </fill>
    <fill>
      <patternFill patternType="solid">
        <fgColor rgb="FFDCEDC8"/>
        <bgColor rgb="FFDCEDC8"/>
      </patternFill>
    </fill>
    <fill>
      <patternFill patternType="solid">
        <fgColor rgb="FFECEFF1"/>
        <bgColor rgb="FFECEFF1"/>
      </patternFill>
    </fill>
    <fill>
      <patternFill patternType="solid">
        <fgColor rgb="FFEF9A9A"/>
        <bgColor rgb="FFEF9A9A"/>
      </patternFill>
    </fill>
    <fill>
      <patternFill patternType="solid">
        <fgColor rgb="FFC5E1A5"/>
        <bgColor rgb="FFC5E1A5"/>
      </patternFill>
    </fill>
    <fill>
      <patternFill patternType="solid">
        <fgColor rgb="FF2E7D32"/>
        <bgColor rgb="FF2E7D32"/>
      </patternFill>
    </fill>
    <fill>
      <patternFill patternType="solid">
        <fgColor rgb="FFFF9800"/>
        <bgColor rgb="FFFF9800"/>
      </patternFill>
    </fill>
  </fills>
  <borders count="28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/>
      <top style="thin">
        <color rgb="FFBBBBBB"/>
      </top>
      <bottom style="thin">
        <color rgb="FFBBBBBB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7" fillId="3" fontId="4" numFmtId="0" xfId="0" applyAlignment="1" applyBorder="1" applyFill="1" applyFont="1">
      <alignment horizontal="center" shrinkToFit="0" vertical="center" wrapText="1"/>
    </xf>
    <xf borderId="7" fillId="0" fontId="5" numFmtId="0" xfId="0" applyAlignment="1" applyBorder="1" applyFont="1">
      <alignment shrinkToFit="0" vertical="top" wrapText="1"/>
    </xf>
    <xf borderId="7" fillId="0" fontId="5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8" fillId="3" fontId="4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7" fillId="4" fontId="7" numFmtId="0" xfId="0" applyAlignment="1" applyBorder="1" applyFill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8" fillId="0" fontId="5" numFmtId="164" xfId="0" applyAlignment="1" applyBorder="1" applyFont="1" applyNumberFormat="1">
      <alignment horizontal="left" readingOrder="0" shrinkToFit="0" vertical="center" wrapText="1"/>
    </xf>
    <xf borderId="8" fillId="0" fontId="5" numFmtId="0" xfId="0" applyAlignment="1" applyBorder="1" applyFont="1">
      <alignment horizontal="left" readingOrder="0" shrinkToFit="0" vertical="center" wrapText="1"/>
    </xf>
    <xf borderId="8" fillId="5" fontId="4" numFmtId="0" xfId="0" applyAlignment="1" applyBorder="1" applyFill="1" applyFont="1">
      <alignment horizontal="center" shrinkToFit="0" vertical="center" wrapText="1"/>
    </xf>
    <xf borderId="7" fillId="5" fontId="4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7" fillId="3" fontId="8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7" fillId="5" fontId="8" numFmtId="0" xfId="0" applyAlignment="1" applyBorder="1" applyFont="1">
      <alignment horizontal="center" shrinkToFit="0" vertical="center" wrapText="1"/>
    </xf>
    <xf borderId="11" fillId="6" fontId="8" numFmtId="0" xfId="0" applyAlignment="1" applyBorder="1" applyFill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7" fillId="6" fontId="8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14" fillId="3" fontId="10" numFmtId="0" xfId="0" applyAlignment="1" applyBorder="1" applyFont="1">
      <alignment horizontal="center" shrinkToFit="0" vertical="center" wrapText="1"/>
    </xf>
    <xf borderId="14" fillId="6" fontId="10" numFmtId="0" xfId="0" applyAlignment="1" applyBorder="1" applyFont="1">
      <alignment horizontal="center" shrinkToFit="0" vertical="center" wrapText="1"/>
    </xf>
    <xf borderId="14" fillId="5" fontId="10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7" fillId="3" fontId="4" numFmtId="0" xfId="0" applyAlignment="1" applyBorder="1" applyFont="1">
      <alignment horizontal="center" readingOrder="0" shrinkToFit="0" vertical="center" wrapText="1"/>
    </xf>
    <xf borderId="15" fillId="7" fontId="11" numFmtId="0" xfId="0" applyAlignment="1" applyBorder="1" applyFill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7" fontId="11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left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9" fillId="0" fontId="13" numFmtId="0" xfId="0" applyAlignment="1" applyBorder="1" applyFont="1">
      <alignment horizontal="left" shrinkToFit="0" vertical="top" wrapText="1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18" fillId="0" fontId="12" numFmtId="0" xfId="0" applyAlignment="1" applyBorder="1" applyFont="1">
      <alignment horizontal="left" readingOrder="0" shrinkToFit="0" vertical="center" wrapText="1"/>
    </xf>
    <xf borderId="18" fillId="0" fontId="12" numFmtId="0" xfId="0" applyAlignment="1" applyBorder="1" applyFont="1">
      <alignment horizontal="center" readingOrder="0" shrinkToFit="0" vertical="center" wrapText="1"/>
    </xf>
    <xf borderId="19" fillId="0" fontId="13" numFmtId="0" xfId="0" applyAlignment="1" applyBorder="1" applyFont="1">
      <alignment horizontal="left" readingOrder="0" shrinkToFit="0" vertical="top" wrapText="1"/>
    </xf>
    <xf borderId="14" fillId="4" fontId="7" numFmtId="0" xfId="0" applyAlignment="1" applyBorder="1" applyFont="1">
      <alignment shrinkToFit="0" vertical="bottom" wrapText="0"/>
    </xf>
    <xf borderId="14" fillId="8" fontId="7" numFmtId="0" xfId="0" applyAlignment="1" applyBorder="1" applyFill="1" applyFont="1">
      <alignment shrinkToFit="0" vertical="bottom" wrapText="0"/>
    </xf>
    <xf borderId="14" fillId="9" fontId="7" numFmtId="165" xfId="0" applyAlignment="1" applyBorder="1" applyFill="1" applyFont="1" applyNumberFormat="1">
      <alignment shrinkToFit="0" vertical="bottom" wrapText="0"/>
    </xf>
    <xf borderId="14" fillId="10" fontId="7" numFmtId="0" xfId="0" applyAlignment="1" applyBorder="1" applyFill="1" applyFont="1">
      <alignment shrinkToFit="0" vertical="bottom" wrapText="0"/>
    </xf>
    <xf borderId="14" fillId="10" fontId="7" numFmtId="165" xfId="0" applyAlignment="1" applyBorder="1" applyFont="1" applyNumberFormat="1">
      <alignment shrinkToFit="0" vertical="bottom" wrapText="0"/>
    </xf>
    <xf borderId="7" fillId="11" fontId="7" numFmtId="0" xfId="0" applyAlignment="1" applyBorder="1" applyFill="1" applyFont="1">
      <alignment shrinkToFit="0" vertical="top" wrapText="1"/>
    </xf>
    <xf borderId="7" fillId="12" fontId="7" numFmtId="0" xfId="0" applyAlignment="1" applyBorder="1" applyFill="1" applyFont="1">
      <alignment shrinkToFit="0" vertical="top" wrapText="1"/>
    </xf>
    <xf borderId="7" fillId="13" fontId="7" numFmtId="0" xfId="0" applyAlignment="1" applyBorder="1" applyFill="1" applyFont="1">
      <alignment shrinkToFit="0" vertical="top" wrapText="1"/>
    </xf>
    <xf borderId="7" fillId="14" fontId="7" numFmtId="0" xfId="0" applyAlignment="1" applyBorder="1" applyFill="1" applyFont="1">
      <alignment shrinkToFit="0" vertical="top" wrapText="1"/>
    </xf>
    <xf borderId="11" fillId="5" fontId="4" numFmtId="0" xfId="0" applyAlignment="1" applyBorder="1" applyFont="1">
      <alignment horizontal="left" shrinkToFit="0" vertical="center" wrapText="1"/>
    </xf>
    <xf borderId="7" fillId="11" fontId="7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shrinkToFit="0" vertical="bottom" wrapText="0"/>
    </xf>
    <xf borderId="7" fillId="12" fontId="7" numFmtId="0" xfId="0" applyAlignment="1" applyBorder="1" applyFont="1">
      <alignment shrinkToFit="0" vertical="bottom" wrapText="0"/>
    </xf>
    <xf borderId="7" fillId="13" fontId="7" numFmtId="0" xfId="0" applyAlignment="1" applyBorder="1" applyFont="1">
      <alignment shrinkToFit="0" vertical="bottom" wrapText="0"/>
    </xf>
    <xf borderId="7" fillId="14" fontId="7" numFmtId="0" xfId="0" applyAlignment="1" applyBorder="1" applyFont="1">
      <alignment shrinkToFit="0" vertical="bottom" wrapText="0"/>
    </xf>
    <xf borderId="7" fillId="15" fontId="7" numFmtId="0" xfId="0" applyAlignment="1" applyBorder="1" applyFill="1" applyFont="1">
      <alignment shrinkToFit="0" vertical="bottom" wrapText="0"/>
    </xf>
    <xf borderId="7" fillId="8" fontId="7" numFmtId="0" xfId="0" applyAlignment="1" applyBorder="1" applyFont="1">
      <alignment shrinkToFit="0" vertical="bottom" wrapText="0"/>
    </xf>
    <xf borderId="7" fillId="16" fontId="5" numFmtId="0" xfId="0" applyAlignment="1" applyBorder="1" applyFill="1" applyFont="1">
      <alignment shrinkToFit="0" vertical="top" wrapText="1"/>
    </xf>
    <xf borderId="7" fillId="9" fontId="5" numFmtId="0" xfId="0" applyAlignment="1" applyBorder="1" applyFont="1">
      <alignment shrinkToFit="0" vertical="top" wrapText="1"/>
    </xf>
    <xf borderId="7" fillId="17" fontId="5" numFmtId="0" xfId="0" applyAlignment="1" applyBorder="1" applyFill="1" applyFont="1">
      <alignment shrinkToFit="0" vertical="top" wrapText="1"/>
    </xf>
    <xf borderId="8" fillId="0" fontId="9" numFmtId="0" xfId="0" applyAlignment="1" applyBorder="1" applyFont="1">
      <alignment shrinkToFit="0" vertical="bottom" wrapText="0"/>
    </xf>
    <xf borderId="27" fillId="0" fontId="2" numFmtId="0" xfId="0" applyBorder="1" applyFont="1"/>
    <xf borderId="11" fillId="18" fontId="4" numFmtId="0" xfId="0" applyAlignment="1" applyBorder="1" applyFill="1" applyFont="1">
      <alignment horizontal="left" shrinkToFit="0" vertical="center" wrapText="1"/>
    </xf>
    <xf borderId="11" fillId="3" fontId="4" numFmtId="0" xfId="0" applyAlignment="1" applyBorder="1" applyFont="1">
      <alignment horizontal="left" shrinkToFit="0" vertical="center" wrapText="1"/>
    </xf>
    <xf borderId="7" fillId="0" fontId="5" numFmtId="165" xfId="0" applyAlignment="1" applyBorder="1" applyFont="1" applyNumberFormat="1">
      <alignment horizontal="left" shrinkToFit="0" vertical="center" wrapText="1"/>
    </xf>
    <xf borderId="11" fillId="19" fontId="4" numFmtId="0" xfId="0" applyAlignment="1" applyBorder="1" applyFill="1" applyFont="1">
      <alignment horizontal="left" shrinkToFit="0" vertical="center" wrapText="1"/>
    </xf>
    <xf borderId="11" fillId="2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F59D"/>
          <bgColor rgb="FFFFF59D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ECEFF1"/>
          <bgColor rgb="FFECEFF1"/>
        </patternFill>
      </fill>
      <border/>
    </dxf>
    <dxf>
      <font/>
      <fill>
        <patternFill patternType="solid">
          <fgColor rgb="FFBBDEFB"/>
          <bgColor rgb="FFBBDEFB"/>
        </patternFill>
      </fill>
      <border/>
    </dxf>
    <dxf>
      <font/>
      <fill>
        <patternFill patternType="solid">
          <fgColor rgb="FFA5D6A7"/>
          <bgColor rgb="FFA5D6A7"/>
        </patternFill>
      </fill>
      <border/>
    </dxf>
    <dxf>
      <font/>
      <fill>
        <patternFill patternType="solid">
          <fgColor rgb="FFCFD8DC"/>
          <bgColor rgb="FFCFD8DC"/>
        </patternFill>
      </fill>
      <border/>
    </dxf>
    <dxf>
      <font/>
      <fill>
        <patternFill patternType="solid">
          <fgColor rgb="FFFFE0B2"/>
          <bgColor rgb="FFFFE0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5"/>
    <col customWidth="1" min="2" max="2" width="43.75"/>
    <col customWidth="1" min="3" max="3" width="24.5"/>
    <col customWidth="1" min="4" max="4" width="22.75"/>
    <col customWidth="1" min="5" max="6" width="10.5"/>
    <col customWidth="1" min="7" max="26" width="7.63"/>
  </cols>
  <sheetData>
    <row r="1" ht="15.0" customHeight="1">
      <c r="A1" s="1" t="s">
        <v>0</v>
      </c>
      <c r="B1" s="2"/>
      <c r="C1" s="2"/>
      <c r="D1" s="2"/>
      <c r="E1" s="2"/>
      <c r="F1" s="3"/>
    </row>
    <row r="2">
      <c r="A2" s="4"/>
      <c r="B2" s="5"/>
      <c r="C2" s="5"/>
      <c r="D2" s="5"/>
      <c r="E2" s="5"/>
      <c r="F2" s="6"/>
    </row>
    <row r="3" ht="15.0" customHeight="1">
      <c r="A3" s="7" t="s">
        <v>1</v>
      </c>
    </row>
    <row r="5">
      <c r="A5" s="8" t="s">
        <v>2</v>
      </c>
      <c r="B5" s="8" t="s">
        <v>3</v>
      </c>
      <c r="C5" s="8" t="s">
        <v>4</v>
      </c>
      <c r="D5" s="8" t="s">
        <v>5</v>
      </c>
    </row>
    <row r="6">
      <c r="A6" s="9" t="s">
        <v>6</v>
      </c>
      <c r="B6" s="9" t="s">
        <v>7</v>
      </c>
      <c r="C6" s="9" t="s">
        <v>8</v>
      </c>
      <c r="D6" s="9" t="s">
        <v>9</v>
      </c>
    </row>
    <row r="7">
      <c r="A7" s="9" t="s">
        <v>10</v>
      </c>
      <c r="B7" s="9" t="s">
        <v>11</v>
      </c>
      <c r="C7" s="9" t="s">
        <v>12</v>
      </c>
      <c r="D7" s="9" t="s">
        <v>13</v>
      </c>
    </row>
    <row r="8">
      <c r="A8" s="9" t="s">
        <v>14</v>
      </c>
      <c r="B8" s="9" t="s">
        <v>15</v>
      </c>
      <c r="C8" s="9" t="s">
        <v>16</v>
      </c>
      <c r="D8" s="9" t="s">
        <v>17</v>
      </c>
    </row>
    <row r="9">
      <c r="A9" s="9" t="s">
        <v>18</v>
      </c>
      <c r="B9" s="9" t="s">
        <v>19</v>
      </c>
      <c r="C9" s="9" t="s">
        <v>20</v>
      </c>
      <c r="D9" s="9" t="s">
        <v>21</v>
      </c>
    </row>
    <row r="10">
      <c r="A10" s="9" t="s">
        <v>22</v>
      </c>
      <c r="B10" s="9" t="s">
        <v>23</v>
      </c>
      <c r="C10" s="9" t="s">
        <v>24</v>
      </c>
      <c r="D10" s="9" t="s">
        <v>25</v>
      </c>
    </row>
    <row r="11">
      <c r="A11" s="9" t="s">
        <v>26</v>
      </c>
      <c r="B11" s="9" t="s">
        <v>27</v>
      </c>
      <c r="C11" s="9" t="s">
        <v>28</v>
      </c>
      <c r="D11" s="9" t="s">
        <v>21</v>
      </c>
    </row>
    <row r="12">
      <c r="A12" s="10" t="s">
        <v>29</v>
      </c>
      <c r="B12" s="10" t="s">
        <v>30</v>
      </c>
      <c r="C12" s="10" t="s">
        <v>31</v>
      </c>
      <c r="D12" s="10" t="s">
        <v>25</v>
      </c>
    </row>
    <row r="13">
      <c r="A13" s="10" t="s">
        <v>32</v>
      </c>
      <c r="B13" s="9" t="s">
        <v>33</v>
      </c>
      <c r="C13" s="9" t="s">
        <v>34</v>
      </c>
      <c r="D13" s="9" t="s">
        <v>35</v>
      </c>
    </row>
    <row r="14">
      <c r="A14" s="10" t="s">
        <v>36</v>
      </c>
      <c r="B14" s="9" t="s">
        <v>37</v>
      </c>
      <c r="C14" s="9" t="s">
        <v>38</v>
      </c>
      <c r="D14" s="9" t="s">
        <v>39</v>
      </c>
    </row>
    <row r="15">
      <c r="A15" s="10" t="s">
        <v>40</v>
      </c>
      <c r="B15" s="9" t="s">
        <v>41</v>
      </c>
      <c r="C15" s="9" t="s">
        <v>42</v>
      </c>
      <c r="D15" s="9" t="s">
        <v>43</v>
      </c>
    </row>
    <row r="16">
      <c r="A16" s="10" t="s">
        <v>44</v>
      </c>
      <c r="B16" s="9" t="s">
        <v>45</v>
      </c>
      <c r="C16" s="9" t="s">
        <v>46</v>
      </c>
      <c r="D16" s="9" t="s">
        <v>47</v>
      </c>
    </row>
    <row r="17">
      <c r="A17" s="10" t="s">
        <v>48</v>
      </c>
      <c r="B17" s="9" t="s">
        <v>49</v>
      </c>
      <c r="C17" s="9" t="s">
        <v>50</v>
      </c>
      <c r="D17" s="9" t="s">
        <v>51</v>
      </c>
    </row>
    <row r="18">
      <c r="A18" s="10" t="s">
        <v>52</v>
      </c>
      <c r="B18" s="9" t="s">
        <v>53</v>
      </c>
      <c r="C18" s="9" t="s">
        <v>34</v>
      </c>
      <c r="D18" s="9" t="s">
        <v>54</v>
      </c>
    </row>
    <row r="19">
      <c r="A19" s="10" t="s">
        <v>55</v>
      </c>
      <c r="B19" s="9" t="s">
        <v>56</v>
      </c>
      <c r="C19" s="9" t="s">
        <v>57</v>
      </c>
      <c r="D19" s="9" t="s">
        <v>58</v>
      </c>
    </row>
    <row r="22" ht="15.0" customHeight="1">
      <c r="A22" s="11"/>
    </row>
    <row r="23" ht="15.0" customHeight="1">
      <c r="A23" s="11"/>
    </row>
    <row r="24" ht="15.0" customHeight="1">
      <c r="A24" s="11"/>
    </row>
    <row r="25" ht="15.0" customHeight="1">
      <c r="A25" s="11"/>
    </row>
    <row r="26" ht="15.0" customHeight="1">
      <c r="A26" s="11"/>
    </row>
    <row r="27" ht="15.0" customHeight="1">
      <c r="A27" s="11"/>
    </row>
    <row r="28" ht="15.0" customHeight="1">
      <c r="A28" s="11"/>
    </row>
    <row r="29" ht="15.0" customHeight="1">
      <c r="A29" s="1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7:F27"/>
    <mergeCell ref="A28:F28"/>
    <mergeCell ref="A29:F29"/>
    <mergeCell ref="A1:F2"/>
    <mergeCell ref="A3:F3"/>
    <mergeCell ref="A22:F22"/>
    <mergeCell ref="A23:F23"/>
    <mergeCell ref="A24:F24"/>
    <mergeCell ref="A25:F25"/>
    <mergeCell ref="A26:F2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26.25"/>
    <col customWidth="1" min="3" max="4" width="30.63"/>
    <col customWidth="1" min="5" max="26" width="7.63"/>
  </cols>
  <sheetData>
    <row r="1" ht="15.0" customHeight="1">
      <c r="A1" s="1" t="s">
        <v>59</v>
      </c>
      <c r="B1" s="2"/>
      <c r="C1" s="2"/>
      <c r="D1" s="3"/>
    </row>
    <row r="2">
      <c r="A2" s="4"/>
      <c r="B2" s="5"/>
      <c r="C2" s="5"/>
      <c r="D2" s="6"/>
    </row>
    <row r="3" ht="15.0" customHeight="1">
      <c r="A3" s="12" t="s">
        <v>60</v>
      </c>
    </row>
    <row r="5" ht="15.0" customHeight="1">
      <c r="A5" s="13" t="s">
        <v>61</v>
      </c>
      <c r="B5" s="14"/>
      <c r="C5" s="14"/>
      <c r="D5" s="15"/>
    </row>
    <row r="6" ht="15.0" customHeight="1">
      <c r="A6" s="16" t="s">
        <v>62</v>
      </c>
      <c r="B6" s="17" t="s">
        <v>63</v>
      </c>
      <c r="C6" s="14"/>
      <c r="D6" s="14"/>
    </row>
    <row r="7" ht="15.0" customHeight="1">
      <c r="A7" s="16" t="s">
        <v>64</v>
      </c>
      <c r="B7" s="17" t="s">
        <v>65</v>
      </c>
      <c r="C7" s="14"/>
      <c r="D7" s="14"/>
    </row>
    <row r="8" ht="15.0" customHeight="1">
      <c r="A8" s="16" t="s">
        <v>66</v>
      </c>
      <c r="B8" s="17"/>
      <c r="C8" s="14"/>
      <c r="D8" s="14"/>
    </row>
    <row r="9" ht="15.0" customHeight="1">
      <c r="A9" s="16" t="s">
        <v>67</v>
      </c>
      <c r="B9" s="17"/>
      <c r="C9" s="14"/>
      <c r="D9" s="14"/>
    </row>
    <row r="10" ht="15.0" customHeight="1">
      <c r="A10" s="16" t="s">
        <v>68</v>
      </c>
      <c r="B10" s="18">
        <v>46183.0</v>
      </c>
      <c r="C10" s="14"/>
      <c r="D10" s="14"/>
    </row>
    <row r="11" ht="15.0" customHeight="1">
      <c r="A11" s="16" t="s">
        <v>69</v>
      </c>
      <c r="B11" s="18">
        <v>46206.0</v>
      </c>
      <c r="C11" s="14"/>
      <c r="D11" s="14"/>
    </row>
    <row r="12" ht="15.0" customHeight="1">
      <c r="A12" s="16" t="s">
        <v>70</v>
      </c>
      <c r="B12" s="19" t="s">
        <v>71</v>
      </c>
      <c r="C12" s="14"/>
      <c r="D12" s="14"/>
    </row>
    <row r="13" ht="15.0" customHeight="1">
      <c r="A13" s="16" t="s">
        <v>72</v>
      </c>
      <c r="B13" s="17" t="s">
        <v>73</v>
      </c>
      <c r="C13" s="14"/>
      <c r="D13" s="14"/>
    </row>
    <row r="14" ht="15.0" customHeight="1">
      <c r="A14" s="16" t="s">
        <v>74</v>
      </c>
      <c r="B14" s="19" t="s">
        <v>75</v>
      </c>
      <c r="C14" s="14"/>
      <c r="D14" s="14"/>
    </row>
    <row r="15" ht="15.0" customHeight="1">
      <c r="A15" s="16" t="s">
        <v>76</v>
      </c>
      <c r="B15" s="19" t="s">
        <v>77</v>
      </c>
      <c r="C15" s="14"/>
      <c r="D15" s="14"/>
    </row>
    <row r="17" ht="15.0" customHeight="1">
      <c r="A17" s="13" t="s">
        <v>78</v>
      </c>
      <c r="B17" s="14"/>
      <c r="C17" s="14"/>
      <c r="D17" s="15"/>
    </row>
    <row r="18" ht="15.0" customHeight="1">
      <c r="A18" s="17" t="s">
        <v>79</v>
      </c>
      <c r="B18" s="14"/>
      <c r="C18" s="14"/>
      <c r="D18" s="14"/>
    </row>
    <row r="19" ht="15.0" customHeight="1">
      <c r="A19" s="17" t="s">
        <v>80</v>
      </c>
      <c r="B19" s="14"/>
      <c r="C19" s="14"/>
      <c r="D19" s="14"/>
    </row>
    <row r="20" ht="15.0" customHeight="1">
      <c r="A20" s="17" t="s">
        <v>81</v>
      </c>
      <c r="B20" s="14"/>
      <c r="C20" s="14"/>
      <c r="D20" s="14"/>
    </row>
    <row r="21" ht="15.0" customHeight="1">
      <c r="A21" s="17" t="s">
        <v>82</v>
      </c>
      <c r="B21" s="14"/>
      <c r="C21" s="14"/>
      <c r="D21" s="14"/>
    </row>
    <row r="22" ht="15.0" customHeight="1">
      <c r="A22" s="17" t="s">
        <v>83</v>
      </c>
      <c r="B22" s="14"/>
      <c r="C22" s="14"/>
      <c r="D22" s="14"/>
    </row>
    <row r="23" ht="15.75" customHeight="1"/>
    <row r="24" ht="15.0" customHeight="1">
      <c r="A24" s="13" t="s">
        <v>84</v>
      </c>
      <c r="B24" s="15"/>
      <c r="C24" s="20" t="s">
        <v>85</v>
      </c>
      <c r="D24" s="15"/>
    </row>
    <row r="25" ht="15.0" customHeight="1">
      <c r="A25" s="17" t="s">
        <v>86</v>
      </c>
      <c r="B25" s="14"/>
      <c r="C25" s="17" t="s">
        <v>87</v>
      </c>
      <c r="D25" s="14"/>
    </row>
    <row r="26" ht="15.0" customHeight="1">
      <c r="A26" s="17" t="s">
        <v>88</v>
      </c>
      <c r="B26" s="14"/>
      <c r="C26" s="17" t="s">
        <v>89</v>
      </c>
      <c r="D26" s="14"/>
    </row>
    <row r="27" ht="15.0" customHeight="1">
      <c r="A27" s="17" t="s">
        <v>90</v>
      </c>
      <c r="B27" s="14"/>
      <c r="C27" s="17" t="s">
        <v>91</v>
      </c>
      <c r="D27" s="14"/>
    </row>
    <row r="28" ht="15.0" customHeight="1">
      <c r="A28" s="17" t="s">
        <v>92</v>
      </c>
      <c r="B28" s="14"/>
      <c r="C28" s="17" t="s">
        <v>93</v>
      </c>
      <c r="D28" s="14"/>
    </row>
    <row r="29" ht="15.0" customHeight="1">
      <c r="A29" s="17" t="s">
        <v>94</v>
      </c>
      <c r="B29" s="14"/>
      <c r="C29" s="17" t="s">
        <v>95</v>
      </c>
      <c r="D29" s="14"/>
    </row>
    <row r="30" ht="15.0" customHeight="1">
      <c r="A30" s="17" t="s">
        <v>96</v>
      </c>
      <c r="B30" s="14"/>
      <c r="C30" s="19" t="s">
        <v>97</v>
      </c>
      <c r="D30" s="14"/>
    </row>
    <row r="31" ht="15.0" customHeight="1">
      <c r="A31" s="17" t="s">
        <v>98</v>
      </c>
      <c r="B31" s="14"/>
      <c r="C31" s="17" t="s">
        <v>99</v>
      </c>
      <c r="D31" s="14"/>
    </row>
    <row r="32" ht="15.0" customHeight="1">
      <c r="A32" s="17" t="s">
        <v>100</v>
      </c>
      <c r="B32" s="14"/>
      <c r="C32" s="17" t="s">
        <v>101</v>
      </c>
      <c r="D32" s="14"/>
    </row>
    <row r="33" ht="15.0" customHeight="1">
      <c r="A33" s="17" t="s">
        <v>102</v>
      </c>
      <c r="B33" s="14"/>
      <c r="C33" s="17" t="s">
        <v>103</v>
      </c>
      <c r="D33" s="14"/>
    </row>
    <row r="34" ht="15.0" customHeight="1">
      <c r="A34" s="17" t="s">
        <v>104</v>
      </c>
      <c r="B34" s="14"/>
      <c r="C34" s="17" t="s">
        <v>105</v>
      </c>
      <c r="D34" s="14"/>
    </row>
    <row r="35" ht="15.75" customHeight="1">
      <c r="A35" s="19" t="s">
        <v>106</v>
      </c>
      <c r="B35" s="14"/>
      <c r="C35" s="17"/>
      <c r="D35" s="14"/>
    </row>
    <row r="36" ht="15.75" customHeight="1"/>
    <row r="37" ht="15.0" customHeight="1">
      <c r="A37" s="13" t="s">
        <v>107</v>
      </c>
      <c r="B37" s="14"/>
      <c r="C37" s="14"/>
      <c r="D37" s="15"/>
    </row>
    <row r="38" ht="15.75" customHeight="1">
      <c r="A38" s="21" t="s">
        <v>108</v>
      </c>
      <c r="B38" s="21" t="s">
        <v>109</v>
      </c>
      <c r="C38" s="21" t="s">
        <v>110</v>
      </c>
      <c r="D38" s="21" t="s">
        <v>111</v>
      </c>
    </row>
    <row r="39" ht="15.75" customHeight="1">
      <c r="A39" s="9" t="s">
        <v>112</v>
      </c>
      <c r="B39" s="9" t="s">
        <v>113</v>
      </c>
      <c r="C39" s="9" t="s">
        <v>114</v>
      </c>
      <c r="D39" s="10" t="s">
        <v>115</v>
      </c>
    </row>
    <row r="40" ht="15.75" customHeight="1">
      <c r="A40" s="9" t="s">
        <v>116</v>
      </c>
      <c r="B40" s="9" t="s">
        <v>117</v>
      </c>
      <c r="C40" s="9" t="s">
        <v>114</v>
      </c>
      <c r="D40" s="9" t="s">
        <v>118</v>
      </c>
    </row>
    <row r="41" ht="15.75" customHeight="1">
      <c r="A41" s="9" t="s">
        <v>119</v>
      </c>
      <c r="B41" s="9" t="s">
        <v>120</v>
      </c>
      <c r="C41" s="9" t="s">
        <v>121</v>
      </c>
      <c r="D41" s="9" t="s">
        <v>122</v>
      </c>
    </row>
    <row r="42" ht="15.75" customHeight="1">
      <c r="A42" s="9" t="s">
        <v>123</v>
      </c>
      <c r="B42" s="9" t="s">
        <v>124</v>
      </c>
      <c r="C42" s="9" t="s">
        <v>121</v>
      </c>
      <c r="D42" s="9" t="s">
        <v>125</v>
      </c>
    </row>
    <row r="43" ht="15.75" customHeight="1">
      <c r="A43" s="9" t="s">
        <v>126</v>
      </c>
      <c r="B43" s="9" t="s">
        <v>127</v>
      </c>
      <c r="C43" s="9" t="s">
        <v>128</v>
      </c>
      <c r="D43" s="9" t="s">
        <v>129</v>
      </c>
    </row>
    <row r="44" ht="15.75" customHeight="1">
      <c r="A44" s="9" t="s">
        <v>130</v>
      </c>
      <c r="B44" s="9" t="s">
        <v>131</v>
      </c>
      <c r="C44" s="9" t="s">
        <v>114</v>
      </c>
      <c r="D44" s="9" t="s">
        <v>132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1:D2"/>
    <mergeCell ref="A3:D3"/>
    <mergeCell ref="A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A17:D17"/>
    <mergeCell ref="A18:D18"/>
    <mergeCell ref="A19:D19"/>
    <mergeCell ref="A20:D20"/>
    <mergeCell ref="A21:D21"/>
    <mergeCell ref="A22:D22"/>
    <mergeCell ref="A24:B24"/>
    <mergeCell ref="C24:D24"/>
    <mergeCell ref="A28:B28"/>
    <mergeCell ref="A29:B29"/>
    <mergeCell ref="A30:B30"/>
    <mergeCell ref="A31:B31"/>
    <mergeCell ref="A32:B32"/>
    <mergeCell ref="A33:B33"/>
    <mergeCell ref="A34:B34"/>
    <mergeCell ref="A35:B35"/>
    <mergeCell ref="C29:D29"/>
    <mergeCell ref="C30:D30"/>
    <mergeCell ref="C31:D31"/>
    <mergeCell ref="C32:D32"/>
    <mergeCell ref="C33:D33"/>
    <mergeCell ref="C34:D34"/>
    <mergeCell ref="C35:D35"/>
    <mergeCell ref="A37:D37"/>
    <mergeCell ref="A25:B25"/>
    <mergeCell ref="C25:D25"/>
    <mergeCell ref="A26:B26"/>
    <mergeCell ref="C26:D26"/>
    <mergeCell ref="A27:B27"/>
    <mergeCell ref="C27:D27"/>
    <mergeCell ref="C28:D2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43.75"/>
    <col customWidth="1" min="2" max="9" width="5.25"/>
    <col customWidth="1" min="10" max="11" width="12.25"/>
    <col customWidth="1" min="12" max="12" width="35.0"/>
    <col customWidth="1" min="13" max="26" width="7.63"/>
  </cols>
  <sheetData>
    <row r="1" ht="15.0" customHeight="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4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139</v>
      </c>
      <c r="G4" s="8" t="s">
        <v>140</v>
      </c>
      <c r="H4" s="8" t="s">
        <v>141</v>
      </c>
      <c r="I4" s="8" t="s">
        <v>142</v>
      </c>
      <c r="J4" s="8" t="s">
        <v>143</v>
      </c>
      <c r="K4" s="8" t="s">
        <v>144</v>
      </c>
      <c r="L4" s="8" t="s">
        <v>145</v>
      </c>
    </row>
    <row r="5">
      <c r="A5" s="22" t="s">
        <v>146</v>
      </c>
      <c r="B5" s="23" t="s">
        <v>147</v>
      </c>
      <c r="C5" s="24"/>
      <c r="D5" s="24"/>
      <c r="E5" s="24"/>
      <c r="F5" s="24"/>
      <c r="G5" s="24"/>
      <c r="H5" s="24"/>
      <c r="I5" s="24"/>
      <c r="J5" s="25" t="s">
        <v>148</v>
      </c>
      <c r="K5" s="25" t="s">
        <v>149</v>
      </c>
      <c r="L5" s="26"/>
    </row>
    <row r="6">
      <c r="A6" s="27" t="s">
        <v>150</v>
      </c>
      <c r="B6" s="23" t="s">
        <v>147</v>
      </c>
      <c r="C6" s="24"/>
      <c r="D6" s="24"/>
      <c r="E6" s="24"/>
      <c r="F6" s="24"/>
      <c r="G6" s="24"/>
      <c r="H6" s="24"/>
      <c r="I6" s="24"/>
      <c r="J6" s="28" t="s">
        <v>151</v>
      </c>
      <c r="K6" s="25" t="s">
        <v>149</v>
      </c>
      <c r="L6" s="26"/>
    </row>
    <row r="7">
      <c r="A7" s="22" t="s">
        <v>152</v>
      </c>
      <c r="B7" s="23" t="s">
        <v>147</v>
      </c>
      <c r="C7" s="23" t="s">
        <v>147</v>
      </c>
      <c r="D7" s="24"/>
      <c r="E7" s="24"/>
      <c r="F7" s="24"/>
      <c r="G7" s="24"/>
      <c r="H7" s="24"/>
      <c r="I7" s="24"/>
      <c r="J7" s="25" t="s">
        <v>153</v>
      </c>
      <c r="K7" s="25" t="s">
        <v>149</v>
      </c>
      <c r="L7" s="26"/>
    </row>
    <row r="8">
      <c r="A8" s="22" t="s">
        <v>154</v>
      </c>
      <c r="B8" s="24"/>
      <c r="C8" s="23" t="s">
        <v>147</v>
      </c>
      <c r="D8" s="24"/>
      <c r="E8" s="24"/>
      <c r="F8" s="24"/>
      <c r="G8" s="24"/>
      <c r="H8" s="24"/>
      <c r="I8" s="24"/>
      <c r="J8" s="25" t="s">
        <v>155</v>
      </c>
      <c r="K8" s="25" t="s">
        <v>149</v>
      </c>
      <c r="L8" s="26" t="s">
        <v>156</v>
      </c>
    </row>
    <row r="9">
      <c r="A9" s="22" t="s">
        <v>157</v>
      </c>
      <c r="B9" s="24"/>
      <c r="C9" s="23" t="s">
        <v>147</v>
      </c>
      <c r="D9" s="24"/>
      <c r="E9" s="24"/>
      <c r="F9" s="24"/>
      <c r="G9" s="24"/>
      <c r="H9" s="24"/>
      <c r="I9" s="24"/>
      <c r="J9" s="25" t="s">
        <v>153</v>
      </c>
      <c r="K9" s="25" t="s">
        <v>149</v>
      </c>
      <c r="L9" s="26"/>
    </row>
    <row r="10">
      <c r="A10" s="22" t="s">
        <v>158</v>
      </c>
      <c r="B10" s="24"/>
      <c r="C10" s="23" t="s">
        <v>147</v>
      </c>
      <c r="D10" s="24"/>
      <c r="E10" s="24"/>
      <c r="G10" s="24"/>
      <c r="H10" s="24"/>
      <c r="I10" s="24"/>
      <c r="J10" s="25" t="s">
        <v>159</v>
      </c>
      <c r="K10" s="25" t="s">
        <v>149</v>
      </c>
      <c r="L10" s="26"/>
    </row>
    <row r="11">
      <c r="A11" s="22" t="s">
        <v>160</v>
      </c>
      <c r="B11" s="24"/>
      <c r="C11" s="24"/>
      <c r="D11" s="23" t="s">
        <v>147</v>
      </c>
      <c r="E11" s="24"/>
      <c r="F11" s="24"/>
      <c r="G11" s="24"/>
      <c r="H11" s="24"/>
      <c r="I11" s="24"/>
      <c r="J11" s="25" t="s">
        <v>155</v>
      </c>
      <c r="K11" s="25" t="s">
        <v>149</v>
      </c>
      <c r="L11" s="26"/>
    </row>
    <row r="12">
      <c r="A12" s="22" t="s">
        <v>161</v>
      </c>
      <c r="B12" s="24"/>
      <c r="D12" s="23" t="s">
        <v>147</v>
      </c>
      <c r="E12" s="24"/>
      <c r="F12" s="24"/>
      <c r="G12" s="24"/>
      <c r="I12" s="24"/>
      <c r="J12" s="25" t="s">
        <v>162</v>
      </c>
      <c r="K12" s="25" t="s">
        <v>149</v>
      </c>
      <c r="L12" s="26"/>
    </row>
    <row r="13">
      <c r="A13" s="22" t="s">
        <v>163</v>
      </c>
      <c r="B13" s="24"/>
      <c r="C13" s="24"/>
      <c r="D13" s="23" t="s">
        <v>147</v>
      </c>
      <c r="F13" s="24"/>
      <c r="G13" s="24"/>
      <c r="H13" s="24"/>
      <c r="I13" s="24"/>
      <c r="J13" s="25" t="s">
        <v>155</v>
      </c>
      <c r="K13" s="25" t="s">
        <v>149</v>
      </c>
      <c r="L13" s="26" t="s">
        <v>164</v>
      </c>
    </row>
    <row r="14">
      <c r="A14" s="22" t="s">
        <v>165</v>
      </c>
      <c r="B14" s="24"/>
      <c r="C14" s="24"/>
      <c r="D14" s="24"/>
      <c r="E14" s="23" t="s">
        <v>147</v>
      </c>
      <c r="F14" s="24"/>
      <c r="G14" s="24"/>
      <c r="H14" s="24"/>
      <c r="I14" s="24"/>
      <c r="J14" s="25" t="s">
        <v>162</v>
      </c>
      <c r="K14" s="25" t="s">
        <v>149</v>
      </c>
      <c r="L14" s="26"/>
    </row>
    <row r="15">
      <c r="A15" s="22" t="s">
        <v>166</v>
      </c>
      <c r="B15" s="24"/>
      <c r="C15" s="24"/>
      <c r="D15" s="24"/>
      <c r="E15" s="29" t="s">
        <v>167</v>
      </c>
      <c r="F15" s="24"/>
      <c r="G15" s="24"/>
      <c r="H15" s="24"/>
      <c r="I15" s="24"/>
      <c r="J15" s="25" t="s">
        <v>168</v>
      </c>
      <c r="K15" s="25" t="s">
        <v>149</v>
      </c>
      <c r="L15" s="26" t="s">
        <v>169</v>
      </c>
    </row>
    <row r="16">
      <c r="A16" s="22" t="s">
        <v>170</v>
      </c>
      <c r="B16" s="24"/>
      <c r="C16" s="24"/>
      <c r="D16" s="24"/>
      <c r="E16" s="24"/>
      <c r="F16" s="23" t="s">
        <v>147</v>
      </c>
      <c r="G16" s="24"/>
      <c r="H16" s="24"/>
      <c r="I16" s="24"/>
      <c r="J16" s="25" t="s">
        <v>159</v>
      </c>
      <c r="K16" s="25" t="s">
        <v>149</v>
      </c>
      <c r="L16" s="26"/>
    </row>
    <row r="17">
      <c r="A17" s="22" t="s">
        <v>171</v>
      </c>
      <c r="B17" s="24"/>
      <c r="C17" s="24"/>
      <c r="D17" s="24"/>
      <c r="E17" s="24"/>
      <c r="F17" s="24"/>
      <c r="G17" s="23" t="s">
        <v>147</v>
      </c>
      <c r="H17" s="24"/>
      <c r="I17" s="24"/>
      <c r="J17" s="25" t="s">
        <v>159</v>
      </c>
      <c r="K17" s="25" t="s">
        <v>149</v>
      </c>
      <c r="L17" s="26"/>
    </row>
    <row r="18">
      <c r="A18" s="22" t="s">
        <v>172</v>
      </c>
      <c r="B18" s="24"/>
      <c r="C18" s="24"/>
      <c r="D18" s="24"/>
      <c r="E18" s="24"/>
      <c r="F18" s="24"/>
      <c r="G18" s="24"/>
      <c r="H18" s="23" t="s">
        <v>147</v>
      </c>
      <c r="I18" s="24"/>
      <c r="J18" s="25" t="s">
        <v>159</v>
      </c>
      <c r="K18" s="25" t="s">
        <v>149</v>
      </c>
      <c r="L18" s="26"/>
    </row>
    <row r="19">
      <c r="A19" s="22" t="s">
        <v>173</v>
      </c>
      <c r="B19" s="24"/>
      <c r="C19" s="24"/>
      <c r="D19" s="24"/>
      <c r="E19" s="24"/>
      <c r="F19" s="24"/>
      <c r="G19" s="24"/>
      <c r="H19" s="24"/>
      <c r="I19" s="23" t="s">
        <v>147</v>
      </c>
      <c r="J19" s="25" t="s">
        <v>174</v>
      </c>
      <c r="K19" s="25" t="s">
        <v>149</v>
      </c>
      <c r="L19" s="26"/>
    </row>
    <row r="20">
      <c r="A20" s="22" t="s">
        <v>175</v>
      </c>
      <c r="B20" s="24"/>
      <c r="C20" s="24"/>
      <c r="D20" s="24"/>
      <c r="E20" s="24"/>
      <c r="F20" s="24"/>
      <c r="G20" s="24"/>
      <c r="H20" s="24"/>
      <c r="I20" s="29" t="s">
        <v>167</v>
      </c>
      <c r="J20" s="25" t="s">
        <v>168</v>
      </c>
      <c r="K20" s="25" t="s">
        <v>149</v>
      </c>
      <c r="L20" s="26"/>
    </row>
    <row r="21">
      <c r="A21" s="22" t="s">
        <v>176</v>
      </c>
      <c r="B21" s="24"/>
      <c r="C21" s="24"/>
      <c r="D21" s="24"/>
      <c r="E21" s="24"/>
      <c r="F21" s="24"/>
      <c r="G21" s="24"/>
      <c r="H21" s="24"/>
      <c r="I21" s="29" t="s">
        <v>167</v>
      </c>
      <c r="J21" s="25" t="s">
        <v>168</v>
      </c>
      <c r="K21" s="25" t="s">
        <v>149</v>
      </c>
      <c r="L21" s="26" t="s">
        <v>177</v>
      </c>
    </row>
    <row r="22" ht="15.0" customHeight="1">
      <c r="A22" s="30" t="s">
        <v>178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ht="15.75" customHeight="1">
      <c r="A23" s="22" t="s">
        <v>179</v>
      </c>
      <c r="B23" s="33" t="s">
        <v>147</v>
      </c>
      <c r="C23" s="24"/>
      <c r="D23" s="24"/>
      <c r="E23" s="24"/>
      <c r="F23" s="24"/>
      <c r="G23" s="24"/>
      <c r="H23" s="24"/>
      <c r="I23" s="24"/>
      <c r="J23" s="25" t="s">
        <v>180</v>
      </c>
      <c r="K23" s="25" t="s">
        <v>149</v>
      </c>
      <c r="L23" s="26" t="s">
        <v>181</v>
      </c>
    </row>
    <row r="24" ht="15.75" customHeight="1">
      <c r="A24" s="22" t="s">
        <v>182</v>
      </c>
      <c r="B24" s="33" t="s">
        <v>147</v>
      </c>
      <c r="C24" s="33" t="s">
        <v>147</v>
      </c>
      <c r="D24" s="33" t="s">
        <v>147</v>
      </c>
      <c r="E24" s="33" t="s">
        <v>147</v>
      </c>
      <c r="F24" s="33" t="s">
        <v>147</v>
      </c>
      <c r="G24" s="33" t="s">
        <v>147</v>
      </c>
      <c r="H24" s="33" t="s">
        <v>147</v>
      </c>
      <c r="I24" s="33" t="s">
        <v>147</v>
      </c>
      <c r="J24" s="25" t="s">
        <v>183</v>
      </c>
      <c r="K24" s="25" t="s">
        <v>149</v>
      </c>
      <c r="L24" s="26" t="s">
        <v>184</v>
      </c>
    </row>
    <row r="25" ht="15.75" customHeight="1">
      <c r="A25" s="22" t="s">
        <v>185</v>
      </c>
      <c r="B25" s="24"/>
      <c r="C25" s="33" t="s">
        <v>147</v>
      </c>
      <c r="D25" s="33" t="s">
        <v>147</v>
      </c>
      <c r="E25" s="33" t="s">
        <v>147</v>
      </c>
      <c r="F25" s="33" t="s">
        <v>147</v>
      </c>
      <c r="G25" s="33" t="s">
        <v>147</v>
      </c>
      <c r="H25" s="33" t="s">
        <v>147</v>
      </c>
      <c r="I25" s="33" t="s">
        <v>147</v>
      </c>
      <c r="J25" s="25" t="s">
        <v>186</v>
      </c>
      <c r="K25" s="25" t="s">
        <v>149</v>
      </c>
      <c r="L25" s="26" t="s">
        <v>184</v>
      </c>
    </row>
    <row r="26" ht="15.75" customHeight="1">
      <c r="A26" s="22" t="s">
        <v>187</v>
      </c>
      <c r="B26" s="24"/>
      <c r="C26" s="24"/>
      <c r="D26" s="33" t="s">
        <v>147</v>
      </c>
      <c r="E26" s="33" t="s">
        <v>147</v>
      </c>
      <c r="F26" s="33" t="s">
        <v>147</v>
      </c>
      <c r="G26" s="33" t="s">
        <v>147</v>
      </c>
      <c r="H26" s="33" t="s">
        <v>147</v>
      </c>
      <c r="I26" s="33" t="s">
        <v>147</v>
      </c>
      <c r="J26" s="25" t="s">
        <v>188</v>
      </c>
      <c r="K26" s="25" t="s">
        <v>149</v>
      </c>
      <c r="L26" s="26" t="s">
        <v>184</v>
      </c>
    </row>
    <row r="27" ht="15.75" customHeight="1">
      <c r="A27" s="22" t="s">
        <v>189</v>
      </c>
      <c r="B27" s="24"/>
      <c r="C27" s="24"/>
      <c r="D27" s="24"/>
      <c r="E27" s="33" t="s">
        <v>147</v>
      </c>
      <c r="F27" s="24"/>
      <c r="G27" s="33" t="s">
        <v>147</v>
      </c>
      <c r="H27" s="24"/>
      <c r="I27" s="33" t="s">
        <v>147</v>
      </c>
      <c r="J27" s="25" t="s">
        <v>186</v>
      </c>
      <c r="K27" s="25" t="s">
        <v>149</v>
      </c>
      <c r="L27" s="26" t="s">
        <v>190</v>
      </c>
    </row>
    <row r="28" ht="15.75" customHeight="1">
      <c r="A28" s="22" t="s">
        <v>191</v>
      </c>
      <c r="B28" s="24"/>
      <c r="C28" s="24"/>
      <c r="D28" s="24"/>
      <c r="E28" s="24"/>
      <c r="F28" s="24"/>
      <c r="G28" s="33" t="s">
        <v>147</v>
      </c>
      <c r="H28" s="33" t="s">
        <v>147</v>
      </c>
      <c r="I28" s="33" t="s">
        <v>147</v>
      </c>
      <c r="J28" s="25" t="s">
        <v>192</v>
      </c>
      <c r="K28" s="25" t="s">
        <v>149</v>
      </c>
      <c r="L28" s="26"/>
    </row>
    <row r="29" ht="15.75" customHeight="1">
      <c r="A29" s="22" t="s">
        <v>193</v>
      </c>
      <c r="B29" s="24"/>
      <c r="C29" s="24"/>
      <c r="D29" s="24"/>
      <c r="E29" s="24"/>
      <c r="F29" s="24"/>
      <c r="G29" s="24"/>
      <c r="H29" s="33" t="s">
        <v>147</v>
      </c>
      <c r="I29" s="33" t="s">
        <v>147</v>
      </c>
      <c r="J29" s="25" t="s">
        <v>186</v>
      </c>
      <c r="K29" s="25" t="s">
        <v>149</v>
      </c>
      <c r="L29" s="26"/>
    </row>
    <row r="30" ht="15.75" customHeight="1">
      <c r="A30" s="22" t="s">
        <v>194</v>
      </c>
      <c r="B30" s="24"/>
      <c r="C30" s="24"/>
      <c r="D30" s="24"/>
      <c r="E30" s="33" t="s">
        <v>147</v>
      </c>
      <c r="F30" s="24"/>
      <c r="G30" s="24"/>
      <c r="H30" s="33" t="s">
        <v>147</v>
      </c>
      <c r="I30" s="33" t="s">
        <v>147</v>
      </c>
      <c r="J30" s="25" t="s">
        <v>34</v>
      </c>
      <c r="K30" s="25" t="s">
        <v>149</v>
      </c>
      <c r="L30" s="26" t="s">
        <v>195</v>
      </c>
    </row>
    <row r="31" ht="15.75" customHeight="1">
      <c r="A31" s="22" t="s">
        <v>196</v>
      </c>
      <c r="B31" s="24"/>
      <c r="C31" s="24"/>
      <c r="D31" s="24"/>
      <c r="E31" s="24"/>
      <c r="F31" s="24"/>
      <c r="G31" s="24"/>
      <c r="H31" s="24"/>
      <c r="I31" s="33" t="s">
        <v>147</v>
      </c>
      <c r="J31" s="25" t="s">
        <v>197</v>
      </c>
      <c r="K31" s="25" t="s">
        <v>149</v>
      </c>
      <c r="L31" s="26" t="s">
        <v>198</v>
      </c>
    </row>
    <row r="32" ht="15.75" customHeight="1"/>
    <row r="33" ht="15.75" customHeight="1"/>
    <row r="34" ht="15.75" customHeight="1">
      <c r="A34" s="34" t="s">
        <v>199</v>
      </c>
      <c r="B34" s="35" t="s">
        <v>200</v>
      </c>
      <c r="C34" s="36" t="s">
        <v>201</v>
      </c>
      <c r="D34" s="37" t="s">
        <v>202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L2"/>
    <mergeCell ref="A22:L22"/>
  </mergeCells>
  <conditionalFormatting sqref="K5:K31">
    <cfRule type="cellIs" dxfId="0" priority="1" operator="equal">
      <formula>"Done"</formula>
    </cfRule>
  </conditionalFormatting>
  <conditionalFormatting sqref="K5:K31">
    <cfRule type="cellIs" dxfId="1" priority="2" operator="equal">
      <formula>"In Progress"</formula>
    </cfRule>
  </conditionalFormatting>
  <conditionalFormatting sqref="K5:K31">
    <cfRule type="cellIs" dxfId="2" priority="3" operator="equal">
      <formula>"Blocked"</formula>
    </cfRule>
  </conditionalFormatting>
  <conditionalFormatting sqref="K5:K31">
    <cfRule type="cellIs" dxfId="3" priority="4" operator="equal">
      <formula>"Not Started"</formula>
    </cfRule>
  </conditionalFormatting>
  <conditionalFormatting sqref="K5:K31">
    <cfRule type="cellIs" dxfId="4" priority="5" operator="equal">
      <formula>"In Review"</formula>
    </cfRule>
  </conditionalFormatting>
  <conditionalFormatting sqref="K5:K31">
    <cfRule type="cellIs" dxfId="0" priority="6" operator="equal">
      <formula>"Fixed"</formula>
    </cfRule>
  </conditionalFormatting>
  <conditionalFormatting sqref="K5:K31">
    <cfRule type="cellIs" dxfId="5" priority="7" operator="equal">
      <formula>"Verified"</formula>
    </cfRule>
  </conditionalFormatting>
  <conditionalFormatting sqref="K5:K31">
    <cfRule type="cellIs" dxfId="6" priority="8" operator="equal">
      <formula>"Won't Fix"</formula>
    </cfRule>
  </conditionalFormatting>
  <conditionalFormatting sqref="K5:K31">
    <cfRule type="cellIs" dxfId="7" priority="9" operator="equal">
      <formula>"New"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2.75"/>
    <col customWidth="1" min="2" max="2" width="10.5"/>
    <col customWidth="1" min="3" max="3" width="30.63"/>
    <col customWidth="1" min="4" max="4" width="35.0"/>
    <col customWidth="1" min="5" max="5" width="33.25"/>
    <col customWidth="1" min="6" max="6" width="15.75"/>
    <col customWidth="1" min="7" max="26" width="7.63"/>
  </cols>
  <sheetData>
    <row r="1" ht="15.0" customHeight="1">
      <c r="A1" s="1" t="s">
        <v>203</v>
      </c>
      <c r="B1" s="2"/>
      <c r="C1" s="2"/>
      <c r="D1" s="2"/>
      <c r="E1" s="2"/>
      <c r="F1" s="3"/>
    </row>
    <row r="2">
      <c r="A2" s="4"/>
      <c r="B2" s="5"/>
      <c r="C2" s="5"/>
      <c r="D2" s="5"/>
      <c r="E2" s="5"/>
      <c r="F2" s="6"/>
    </row>
    <row r="4">
      <c r="A4" s="8" t="s">
        <v>204</v>
      </c>
      <c r="B4" s="8" t="s">
        <v>205</v>
      </c>
      <c r="C4" s="8" t="s">
        <v>206</v>
      </c>
      <c r="D4" s="8" t="s">
        <v>207</v>
      </c>
      <c r="E4" s="8" t="s">
        <v>208</v>
      </c>
      <c r="F4" s="8" t="s">
        <v>209</v>
      </c>
    </row>
    <row r="5" ht="109.5" customHeight="1">
      <c r="A5" s="9" t="s">
        <v>210</v>
      </c>
      <c r="B5" s="9" t="s">
        <v>135</v>
      </c>
      <c r="C5" s="9" t="s">
        <v>211</v>
      </c>
      <c r="D5" s="9" t="s">
        <v>212</v>
      </c>
      <c r="E5" s="9" t="s">
        <v>213</v>
      </c>
      <c r="F5" s="9" t="s">
        <v>214</v>
      </c>
    </row>
    <row r="6" ht="109.5" customHeight="1">
      <c r="A6" s="9" t="s">
        <v>215</v>
      </c>
      <c r="B6" s="9" t="s">
        <v>216</v>
      </c>
      <c r="C6" s="9" t="s">
        <v>217</v>
      </c>
      <c r="D6" s="9" t="s">
        <v>218</v>
      </c>
      <c r="E6" s="9" t="s">
        <v>219</v>
      </c>
      <c r="F6" s="9" t="s">
        <v>168</v>
      </c>
    </row>
    <row r="7" ht="109.5" customHeight="1">
      <c r="A7" s="9" t="s">
        <v>220</v>
      </c>
      <c r="B7" s="9" t="s">
        <v>221</v>
      </c>
      <c r="C7" s="9" t="s">
        <v>222</v>
      </c>
      <c r="D7" s="9" t="s">
        <v>223</v>
      </c>
      <c r="E7" s="9" t="s">
        <v>224</v>
      </c>
      <c r="F7" s="9" t="s">
        <v>225</v>
      </c>
    </row>
    <row r="8" ht="109.5" customHeight="1">
      <c r="A8" s="9" t="s">
        <v>226</v>
      </c>
      <c r="B8" s="9" t="s">
        <v>227</v>
      </c>
      <c r="C8" s="9" t="s">
        <v>228</v>
      </c>
      <c r="D8" s="9" t="s">
        <v>229</v>
      </c>
      <c r="E8" s="9" t="s">
        <v>230</v>
      </c>
      <c r="F8" s="9" t="s">
        <v>197</v>
      </c>
    </row>
    <row r="9" ht="109.5" customHeight="1">
      <c r="A9" s="9" t="s">
        <v>231</v>
      </c>
      <c r="B9" s="9" t="s">
        <v>232</v>
      </c>
      <c r="C9" s="9" t="s">
        <v>233</v>
      </c>
      <c r="D9" s="9" t="s">
        <v>234</v>
      </c>
      <c r="E9" s="9" t="s">
        <v>235</v>
      </c>
      <c r="F9" s="9" t="s">
        <v>225</v>
      </c>
    </row>
    <row r="10" ht="109.5" customHeight="1">
      <c r="A10" s="9" t="s">
        <v>236</v>
      </c>
      <c r="B10" s="9" t="s">
        <v>237</v>
      </c>
      <c r="C10" s="9" t="s">
        <v>238</v>
      </c>
      <c r="D10" s="9" t="s">
        <v>239</v>
      </c>
      <c r="E10" s="9" t="s">
        <v>240</v>
      </c>
      <c r="F10" s="9" t="s">
        <v>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7.0"/>
    <col customWidth="1" min="2" max="2" width="11.38"/>
    <col customWidth="1" min="3" max="3" width="24.5"/>
    <col customWidth="1" min="4" max="4" width="36.75"/>
    <col customWidth="1" min="5" max="5" width="10.13"/>
    <col customWidth="1" min="6" max="6" width="7.88"/>
    <col customWidth="1" min="7" max="7" width="6.13"/>
    <col customWidth="1" min="8" max="9" width="10.5"/>
    <col customWidth="1" min="10" max="10" width="8.75"/>
    <col customWidth="1" min="11" max="11" width="12.25"/>
    <col customWidth="1" min="12" max="12" width="18.25"/>
    <col customWidth="1" min="13" max="13" width="10.25"/>
    <col customWidth="1" min="14" max="14" width="7.63"/>
    <col customWidth="1" min="15" max="15" width="10.0"/>
    <col customWidth="1" min="16" max="26" width="7.63"/>
  </cols>
  <sheetData>
    <row r="1" ht="15.0" customHeight="1">
      <c r="A1" s="38" t="s">
        <v>241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4">
      <c r="A4" s="8" t="s">
        <v>108</v>
      </c>
      <c r="B4" s="8" t="s">
        <v>242</v>
      </c>
      <c r="C4" s="39" t="s">
        <v>243</v>
      </c>
      <c r="D4" s="39" t="s">
        <v>244</v>
      </c>
      <c r="E4" s="8" t="s">
        <v>245</v>
      </c>
      <c r="F4" s="8" t="s">
        <v>246</v>
      </c>
      <c r="G4" s="8" t="s">
        <v>204</v>
      </c>
      <c r="H4" s="8" t="s">
        <v>247</v>
      </c>
      <c r="I4" s="8" t="s">
        <v>248</v>
      </c>
      <c r="J4" s="8" t="s">
        <v>249</v>
      </c>
      <c r="K4" s="8" t="s">
        <v>144</v>
      </c>
      <c r="L4" s="8" t="s">
        <v>250</v>
      </c>
      <c r="M4" s="39" t="s">
        <v>251</v>
      </c>
      <c r="N4" s="39" t="s">
        <v>252</v>
      </c>
      <c r="O4" s="39" t="s">
        <v>253</v>
      </c>
    </row>
    <row r="5">
      <c r="A5" s="9" t="s">
        <v>254</v>
      </c>
      <c r="B5" s="9" t="s">
        <v>255</v>
      </c>
      <c r="C5" s="9" t="s">
        <v>256</v>
      </c>
      <c r="D5" s="9" t="s">
        <v>257</v>
      </c>
      <c r="E5" s="9" t="s">
        <v>258</v>
      </c>
      <c r="F5" s="9" t="s">
        <v>259</v>
      </c>
      <c r="G5" s="9" t="s">
        <v>260</v>
      </c>
      <c r="H5" s="9"/>
      <c r="I5" s="9"/>
      <c r="J5" s="9"/>
      <c r="K5" s="9" t="s">
        <v>149</v>
      </c>
      <c r="L5" s="9"/>
      <c r="M5" s="9"/>
      <c r="N5" s="9"/>
      <c r="O5" s="9"/>
    </row>
    <row r="6">
      <c r="A6" s="9" t="s">
        <v>261</v>
      </c>
      <c r="B6" s="9" t="s">
        <v>255</v>
      </c>
      <c r="C6" s="9" t="s">
        <v>262</v>
      </c>
      <c r="D6" s="9" t="s">
        <v>263</v>
      </c>
      <c r="E6" s="9" t="s">
        <v>258</v>
      </c>
      <c r="F6" s="9" t="s">
        <v>259</v>
      </c>
      <c r="G6" s="9" t="s">
        <v>260</v>
      </c>
      <c r="H6" s="9"/>
      <c r="I6" s="9"/>
      <c r="J6" s="9"/>
      <c r="K6" s="9" t="s">
        <v>149</v>
      </c>
      <c r="L6" s="9"/>
      <c r="M6" s="9"/>
      <c r="N6" s="9"/>
      <c r="O6" s="9"/>
    </row>
    <row r="7">
      <c r="A7" s="9" t="s">
        <v>264</v>
      </c>
      <c r="B7" s="9" t="s">
        <v>265</v>
      </c>
      <c r="C7" s="9" t="s">
        <v>266</v>
      </c>
      <c r="D7" s="9" t="s">
        <v>267</v>
      </c>
      <c r="E7" s="9" t="s">
        <v>258</v>
      </c>
      <c r="F7" s="9" t="s">
        <v>259</v>
      </c>
      <c r="G7" s="9" t="s">
        <v>260</v>
      </c>
      <c r="H7" s="9"/>
      <c r="I7" s="9"/>
      <c r="J7" s="9"/>
      <c r="K7" s="9" t="s">
        <v>149</v>
      </c>
      <c r="L7" s="9"/>
      <c r="M7" s="9"/>
      <c r="N7" s="9"/>
      <c r="O7" s="9"/>
    </row>
    <row r="8">
      <c r="A8" s="9" t="s">
        <v>268</v>
      </c>
      <c r="B8" s="9" t="s">
        <v>265</v>
      </c>
      <c r="C8" s="9" t="s">
        <v>269</v>
      </c>
      <c r="D8" s="9" t="s">
        <v>270</v>
      </c>
      <c r="E8" s="9" t="s">
        <v>258</v>
      </c>
      <c r="F8" s="9" t="s">
        <v>259</v>
      </c>
      <c r="G8" s="9" t="s">
        <v>260</v>
      </c>
      <c r="H8" s="9"/>
      <c r="I8" s="9"/>
      <c r="J8" s="9"/>
      <c r="K8" s="9" t="s">
        <v>149</v>
      </c>
      <c r="L8" s="9"/>
      <c r="M8" s="9"/>
      <c r="N8" s="9"/>
      <c r="O8" s="9"/>
    </row>
    <row r="9">
      <c r="A9" s="9" t="s">
        <v>271</v>
      </c>
      <c r="B9" s="9" t="s">
        <v>265</v>
      </c>
      <c r="C9" s="9" t="s">
        <v>272</v>
      </c>
      <c r="D9" s="9" t="s">
        <v>273</v>
      </c>
      <c r="E9" s="9" t="s">
        <v>258</v>
      </c>
      <c r="F9" s="9" t="s">
        <v>259</v>
      </c>
      <c r="G9" s="9" t="s">
        <v>260</v>
      </c>
      <c r="H9" s="9"/>
      <c r="I9" s="9"/>
      <c r="J9" s="9"/>
      <c r="K9" s="9" t="s">
        <v>149</v>
      </c>
      <c r="L9" s="9"/>
      <c r="M9" s="9"/>
      <c r="N9" s="9"/>
      <c r="O9" s="9"/>
    </row>
    <row r="10">
      <c r="A10" s="9" t="s">
        <v>274</v>
      </c>
      <c r="B10" s="9" t="s">
        <v>265</v>
      </c>
      <c r="C10" s="9" t="s">
        <v>275</v>
      </c>
      <c r="D10" s="9" t="s">
        <v>276</v>
      </c>
      <c r="E10" s="9" t="s">
        <v>258</v>
      </c>
      <c r="F10" s="9" t="s">
        <v>259</v>
      </c>
      <c r="G10" s="9" t="s">
        <v>260</v>
      </c>
      <c r="H10" s="9"/>
      <c r="I10" s="9"/>
      <c r="J10" s="9"/>
      <c r="K10" s="9" t="s">
        <v>149</v>
      </c>
      <c r="L10" s="9"/>
      <c r="M10" s="9"/>
      <c r="N10" s="9"/>
      <c r="O10" s="9"/>
    </row>
    <row r="11">
      <c r="A11" s="9" t="s">
        <v>277</v>
      </c>
      <c r="B11" s="9" t="s">
        <v>265</v>
      </c>
      <c r="C11" s="9" t="s">
        <v>278</v>
      </c>
      <c r="D11" s="9" t="s">
        <v>279</v>
      </c>
      <c r="E11" s="9" t="s">
        <v>258</v>
      </c>
      <c r="F11" s="9" t="s">
        <v>259</v>
      </c>
      <c r="G11" s="9" t="s">
        <v>260</v>
      </c>
      <c r="H11" s="9"/>
      <c r="I11" s="9"/>
      <c r="J11" s="9"/>
      <c r="K11" s="9" t="s">
        <v>149</v>
      </c>
      <c r="L11" s="9"/>
      <c r="M11" s="9"/>
      <c r="N11" s="9"/>
      <c r="O11" s="9"/>
    </row>
    <row r="12">
      <c r="A12" s="9" t="s">
        <v>280</v>
      </c>
      <c r="B12" s="9" t="s">
        <v>281</v>
      </c>
      <c r="C12" s="9" t="s">
        <v>282</v>
      </c>
      <c r="D12" s="9" t="s">
        <v>283</v>
      </c>
      <c r="E12" s="9" t="s">
        <v>284</v>
      </c>
      <c r="F12" s="9" t="s">
        <v>259</v>
      </c>
      <c r="G12" s="9" t="s">
        <v>260</v>
      </c>
      <c r="H12" s="9"/>
      <c r="I12" s="9"/>
      <c r="J12" s="9"/>
      <c r="K12" s="9" t="s">
        <v>149</v>
      </c>
      <c r="L12" s="9"/>
      <c r="M12" s="9"/>
      <c r="N12" s="9"/>
      <c r="O12" s="9"/>
    </row>
    <row r="13">
      <c r="A13" s="9" t="s">
        <v>285</v>
      </c>
      <c r="B13" s="9" t="s">
        <v>286</v>
      </c>
      <c r="C13" s="9" t="s">
        <v>287</v>
      </c>
      <c r="D13" s="9" t="s">
        <v>288</v>
      </c>
      <c r="E13" s="9" t="s">
        <v>284</v>
      </c>
      <c r="F13" s="9" t="s">
        <v>259</v>
      </c>
      <c r="G13" s="9" t="s">
        <v>260</v>
      </c>
      <c r="H13" s="9"/>
      <c r="I13" s="9"/>
      <c r="J13" s="9"/>
      <c r="K13" s="9" t="s">
        <v>149</v>
      </c>
      <c r="L13" s="9"/>
      <c r="M13" s="9"/>
      <c r="N13" s="9"/>
      <c r="O13" s="9"/>
    </row>
    <row r="14">
      <c r="A14" s="9" t="s">
        <v>289</v>
      </c>
      <c r="B14" s="9" t="s">
        <v>286</v>
      </c>
      <c r="C14" s="9" t="s">
        <v>290</v>
      </c>
      <c r="D14" s="9" t="s">
        <v>291</v>
      </c>
      <c r="E14" s="9" t="s">
        <v>284</v>
      </c>
      <c r="F14" s="9" t="s">
        <v>259</v>
      </c>
      <c r="G14" s="9" t="s">
        <v>260</v>
      </c>
      <c r="H14" s="9"/>
      <c r="I14" s="9"/>
      <c r="J14" s="9"/>
      <c r="K14" s="9" t="s">
        <v>149</v>
      </c>
      <c r="L14" s="9"/>
      <c r="M14" s="9"/>
      <c r="N14" s="9"/>
      <c r="O14" s="9"/>
    </row>
    <row r="15">
      <c r="A15" s="9" t="s">
        <v>292</v>
      </c>
      <c r="B15" s="9" t="s">
        <v>286</v>
      </c>
      <c r="C15" s="9" t="s">
        <v>293</v>
      </c>
      <c r="D15" s="9" t="s">
        <v>294</v>
      </c>
      <c r="E15" s="9" t="s">
        <v>284</v>
      </c>
      <c r="F15" s="9" t="s">
        <v>259</v>
      </c>
      <c r="G15" s="9" t="s">
        <v>260</v>
      </c>
      <c r="H15" s="9"/>
      <c r="I15" s="9"/>
      <c r="J15" s="9"/>
      <c r="K15" s="9" t="s">
        <v>149</v>
      </c>
      <c r="L15" s="9"/>
      <c r="M15" s="9"/>
      <c r="N15" s="9"/>
      <c r="O15" s="9"/>
    </row>
    <row r="16">
      <c r="A16" s="9" t="s">
        <v>295</v>
      </c>
      <c r="B16" s="9" t="s">
        <v>286</v>
      </c>
      <c r="C16" s="9" t="s">
        <v>296</v>
      </c>
      <c r="D16" s="9" t="s">
        <v>297</v>
      </c>
      <c r="E16" s="9" t="s">
        <v>284</v>
      </c>
      <c r="F16" s="9" t="s">
        <v>259</v>
      </c>
      <c r="G16" s="9" t="s">
        <v>260</v>
      </c>
      <c r="H16" s="9"/>
      <c r="I16" s="9"/>
      <c r="J16" s="9"/>
      <c r="K16" s="9" t="s">
        <v>149</v>
      </c>
      <c r="L16" s="9"/>
      <c r="M16" s="9"/>
      <c r="N16" s="9"/>
      <c r="O16" s="9"/>
    </row>
    <row r="17">
      <c r="A17" s="9" t="s">
        <v>298</v>
      </c>
      <c r="B17" s="9" t="s">
        <v>299</v>
      </c>
      <c r="C17" s="9" t="s">
        <v>300</v>
      </c>
      <c r="D17" s="9" t="s">
        <v>301</v>
      </c>
      <c r="E17" s="9" t="s">
        <v>284</v>
      </c>
      <c r="F17" s="9" t="s">
        <v>259</v>
      </c>
      <c r="G17" s="9" t="s">
        <v>260</v>
      </c>
      <c r="H17" s="9"/>
      <c r="I17" s="9"/>
      <c r="J17" s="9"/>
      <c r="K17" s="9" t="s">
        <v>149</v>
      </c>
      <c r="L17" s="9"/>
      <c r="M17" s="9"/>
      <c r="N17" s="9"/>
      <c r="O17" s="9"/>
    </row>
    <row r="18">
      <c r="A18" s="9" t="s">
        <v>302</v>
      </c>
      <c r="B18" s="9" t="s">
        <v>299</v>
      </c>
      <c r="C18" s="9" t="s">
        <v>303</v>
      </c>
      <c r="D18" s="9" t="s">
        <v>304</v>
      </c>
      <c r="E18" s="9" t="s">
        <v>284</v>
      </c>
      <c r="F18" s="9" t="s">
        <v>305</v>
      </c>
      <c r="G18" s="9" t="s">
        <v>260</v>
      </c>
      <c r="H18" s="9"/>
      <c r="I18" s="9"/>
      <c r="J18" s="9"/>
      <c r="K18" s="9" t="s">
        <v>149</v>
      </c>
      <c r="L18" s="9"/>
      <c r="M18" s="9"/>
      <c r="N18" s="9"/>
      <c r="O18" s="9"/>
    </row>
    <row r="19">
      <c r="A19" s="9" t="s">
        <v>306</v>
      </c>
      <c r="B19" s="9" t="s">
        <v>299</v>
      </c>
      <c r="C19" s="9" t="s">
        <v>307</v>
      </c>
      <c r="D19" s="9" t="s">
        <v>308</v>
      </c>
      <c r="E19" s="9" t="s">
        <v>284</v>
      </c>
      <c r="F19" s="9" t="s">
        <v>305</v>
      </c>
      <c r="G19" s="9" t="s">
        <v>260</v>
      </c>
      <c r="H19" s="9"/>
      <c r="I19" s="9"/>
      <c r="J19" s="9"/>
      <c r="K19" s="9" t="s">
        <v>149</v>
      </c>
      <c r="L19" s="9"/>
      <c r="M19" s="9"/>
      <c r="N19" s="9"/>
      <c r="O19" s="9"/>
    </row>
    <row r="20">
      <c r="A20" s="9" t="s">
        <v>309</v>
      </c>
      <c r="B20" s="9" t="s">
        <v>310</v>
      </c>
      <c r="C20" s="9" t="s">
        <v>311</v>
      </c>
      <c r="D20" s="9" t="s">
        <v>312</v>
      </c>
      <c r="E20" s="9" t="s">
        <v>284</v>
      </c>
      <c r="F20" s="9" t="s">
        <v>259</v>
      </c>
      <c r="G20" s="9" t="s">
        <v>260</v>
      </c>
      <c r="H20" s="9"/>
      <c r="I20" s="9"/>
      <c r="J20" s="9"/>
      <c r="K20" s="9" t="s">
        <v>149</v>
      </c>
      <c r="L20" s="9"/>
      <c r="M20" s="9"/>
      <c r="N20" s="9"/>
      <c r="O20" s="9"/>
    </row>
    <row r="21" ht="15.75" customHeight="1">
      <c r="A21" s="9" t="s">
        <v>313</v>
      </c>
      <c r="B21" s="9" t="s">
        <v>310</v>
      </c>
      <c r="C21" s="9" t="s">
        <v>314</v>
      </c>
      <c r="D21" s="9" t="s">
        <v>315</v>
      </c>
      <c r="E21" s="9" t="s">
        <v>284</v>
      </c>
      <c r="F21" s="9" t="s">
        <v>259</v>
      </c>
      <c r="G21" s="9" t="s">
        <v>260</v>
      </c>
      <c r="H21" s="9"/>
      <c r="I21" s="9"/>
      <c r="J21" s="9"/>
      <c r="K21" s="9" t="s">
        <v>149</v>
      </c>
      <c r="L21" s="9"/>
      <c r="M21" s="9"/>
      <c r="N21" s="9"/>
      <c r="O21" s="9"/>
    </row>
    <row r="22" ht="15.75" customHeight="1">
      <c r="A22" s="9" t="s">
        <v>316</v>
      </c>
      <c r="B22" s="9" t="s">
        <v>317</v>
      </c>
      <c r="C22" s="9" t="s">
        <v>318</v>
      </c>
      <c r="D22" s="9" t="s">
        <v>319</v>
      </c>
      <c r="E22" s="9" t="s">
        <v>284</v>
      </c>
      <c r="F22" s="9" t="s">
        <v>305</v>
      </c>
      <c r="G22" s="9" t="s">
        <v>260</v>
      </c>
      <c r="H22" s="9"/>
      <c r="I22" s="9"/>
      <c r="J22" s="9"/>
      <c r="K22" s="9" t="s">
        <v>149</v>
      </c>
      <c r="L22" s="9"/>
      <c r="M22" s="9"/>
      <c r="N22" s="9"/>
      <c r="O22" s="9"/>
    </row>
    <row r="23" ht="15.75" customHeight="1">
      <c r="A23" s="9" t="s">
        <v>320</v>
      </c>
      <c r="B23" s="9" t="s">
        <v>317</v>
      </c>
      <c r="C23" s="9" t="s">
        <v>321</v>
      </c>
      <c r="D23" s="9" t="s">
        <v>322</v>
      </c>
      <c r="E23" s="9" t="s">
        <v>284</v>
      </c>
      <c r="F23" s="9" t="s">
        <v>305</v>
      </c>
      <c r="G23" s="9" t="s">
        <v>260</v>
      </c>
      <c r="H23" s="9"/>
      <c r="I23" s="9"/>
      <c r="J23" s="9"/>
      <c r="K23" s="9" t="s">
        <v>149</v>
      </c>
      <c r="L23" s="9"/>
      <c r="M23" s="9"/>
      <c r="N23" s="9"/>
      <c r="O23" s="9"/>
    </row>
    <row r="24" ht="15.75" customHeight="1">
      <c r="A24" s="9" t="s">
        <v>323</v>
      </c>
      <c r="B24" s="9" t="s">
        <v>324</v>
      </c>
      <c r="C24" s="9" t="s">
        <v>325</v>
      </c>
      <c r="D24" s="9" t="s">
        <v>326</v>
      </c>
      <c r="E24" s="9" t="s">
        <v>284</v>
      </c>
      <c r="F24" s="9" t="s">
        <v>259</v>
      </c>
      <c r="G24" s="9" t="s">
        <v>260</v>
      </c>
      <c r="H24" s="9"/>
      <c r="I24" s="9"/>
      <c r="J24" s="9"/>
      <c r="K24" s="9" t="s">
        <v>149</v>
      </c>
      <c r="L24" s="9"/>
      <c r="M24" s="9"/>
      <c r="N24" s="9"/>
      <c r="O24" s="9"/>
    </row>
    <row r="25" ht="15.75" customHeight="1">
      <c r="A25" s="9" t="s">
        <v>327</v>
      </c>
      <c r="B25" s="9" t="s">
        <v>328</v>
      </c>
      <c r="C25" s="9" t="s">
        <v>329</v>
      </c>
      <c r="D25" s="9" t="s">
        <v>330</v>
      </c>
      <c r="E25" s="9" t="s">
        <v>284</v>
      </c>
      <c r="F25" s="9" t="s">
        <v>259</v>
      </c>
      <c r="G25" s="9" t="s">
        <v>260</v>
      </c>
      <c r="H25" s="9"/>
      <c r="I25" s="9"/>
      <c r="J25" s="9"/>
      <c r="K25" s="9" t="s">
        <v>149</v>
      </c>
      <c r="L25" s="9"/>
      <c r="M25" s="9"/>
      <c r="N25" s="9"/>
      <c r="O25" s="9"/>
    </row>
    <row r="26" ht="15.75" customHeight="1">
      <c r="A26" s="9" t="s">
        <v>331</v>
      </c>
      <c r="B26" s="9" t="s">
        <v>328</v>
      </c>
      <c r="C26" s="9" t="s">
        <v>332</v>
      </c>
      <c r="D26" s="9" t="s">
        <v>333</v>
      </c>
      <c r="E26" s="9" t="s">
        <v>284</v>
      </c>
      <c r="F26" s="9" t="s">
        <v>259</v>
      </c>
      <c r="G26" s="9" t="s">
        <v>260</v>
      </c>
      <c r="H26" s="9"/>
      <c r="I26" s="9"/>
      <c r="J26" s="9"/>
      <c r="K26" s="9" t="s">
        <v>149</v>
      </c>
      <c r="L26" s="9"/>
      <c r="M26" s="9"/>
      <c r="N26" s="9"/>
      <c r="O26" s="9"/>
    </row>
    <row r="27" ht="15.75" customHeight="1">
      <c r="A27" s="9" t="s">
        <v>334</v>
      </c>
      <c r="B27" s="9" t="s">
        <v>335</v>
      </c>
      <c r="C27" s="9" t="s">
        <v>336</v>
      </c>
      <c r="D27" s="9" t="s">
        <v>337</v>
      </c>
      <c r="E27" s="9" t="s">
        <v>284</v>
      </c>
      <c r="F27" s="9" t="s">
        <v>259</v>
      </c>
      <c r="G27" s="9" t="s">
        <v>260</v>
      </c>
      <c r="H27" s="9"/>
      <c r="I27" s="9"/>
      <c r="J27" s="9"/>
      <c r="K27" s="9" t="s">
        <v>149</v>
      </c>
      <c r="L27" s="9"/>
      <c r="M27" s="9"/>
      <c r="N27" s="9"/>
      <c r="O27" s="9"/>
    </row>
    <row r="28" ht="15.75" customHeight="1">
      <c r="A28" s="9" t="s">
        <v>338</v>
      </c>
      <c r="B28" s="9" t="s">
        <v>335</v>
      </c>
      <c r="C28" s="9" t="s">
        <v>339</v>
      </c>
      <c r="D28" s="9" t="s">
        <v>340</v>
      </c>
      <c r="E28" s="9" t="s">
        <v>284</v>
      </c>
      <c r="F28" s="9" t="s">
        <v>259</v>
      </c>
      <c r="G28" s="9" t="s">
        <v>260</v>
      </c>
      <c r="H28" s="9"/>
      <c r="I28" s="9"/>
      <c r="J28" s="9"/>
      <c r="K28" s="9" t="s">
        <v>149</v>
      </c>
      <c r="L28" s="9"/>
      <c r="M28" s="9"/>
      <c r="N28" s="9"/>
      <c r="O28" s="9"/>
    </row>
    <row r="29" ht="15.75" customHeight="1">
      <c r="A29" s="9" t="s">
        <v>341</v>
      </c>
      <c r="B29" s="9" t="s">
        <v>335</v>
      </c>
      <c r="C29" s="9" t="s">
        <v>342</v>
      </c>
      <c r="D29" s="9" t="s">
        <v>343</v>
      </c>
      <c r="E29" s="9" t="s">
        <v>284</v>
      </c>
      <c r="F29" s="9" t="s">
        <v>305</v>
      </c>
      <c r="G29" s="9" t="s">
        <v>260</v>
      </c>
      <c r="H29" s="9"/>
      <c r="I29" s="9"/>
      <c r="J29" s="9"/>
      <c r="K29" s="9" t="s">
        <v>149</v>
      </c>
      <c r="L29" s="9"/>
      <c r="M29" s="9"/>
      <c r="N29" s="9"/>
      <c r="O29" s="9"/>
    </row>
    <row r="30" ht="15.75" customHeight="1">
      <c r="A30" s="9" t="s">
        <v>344</v>
      </c>
      <c r="B30" s="9" t="s">
        <v>335</v>
      </c>
      <c r="C30" s="9" t="s">
        <v>345</v>
      </c>
      <c r="D30" s="9" t="s">
        <v>346</v>
      </c>
      <c r="E30" s="9" t="s">
        <v>347</v>
      </c>
      <c r="F30" s="9" t="s">
        <v>305</v>
      </c>
      <c r="G30" s="9" t="s">
        <v>260</v>
      </c>
      <c r="H30" s="9"/>
      <c r="I30" s="9"/>
      <c r="J30" s="9"/>
      <c r="K30" s="9" t="s">
        <v>149</v>
      </c>
      <c r="L30" s="9"/>
      <c r="M30" s="9"/>
      <c r="N30" s="9"/>
      <c r="O30" s="9"/>
    </row>
    <row r="31" ht="15.75" customHeight="1">
      <c r="A31" s="9" t="s">
        <v>348</v>
      </c>
      <c r="B31" s="9" t="s">
        <v>347</v>
      </c>
      <c r="C31" s="9" t="s">
        <v>349</v>
      </c>
      <c r="D31" s="10" t="s">
        <v>350</v>
      </c>
      <c r="E31" s="9" t="s">
        <v>284</v>
      </c>
      <c r="F31" s="9" t="s">
        <v>259</v>
      </c>
      <c r="G31" s="9" t="s">
        <v>260</v>
      </c>
      <c r="H31" s="9"/>
      <c r="I31" s="9"/>
      <c r="J31" s="9"/>
      <c r="K31" s="9" t="s">
        <v>149</v>
      </c>
      <c r="L31" s="9"/>
      <c r="M31" s="9"/>
      <c r="N31" s="9"/>
      <c r="O31" s="9"/>
    </row>
    <row r="32" ht="15.75" customHeight="1">
      <c r="A32" s="9" t="s">
        <v>351</v>
      </c>
      <c r="B32" s="9" t="s">
        <v>347</v>
      </c>
      <c r="C32" s="9" t="s">
        <v>352</v>
      </c>
      <c r="D32" s="9" t="s">
        <v>353</v>
      </c>
      <c r="E32" s="9" t="s">
        <v>347</v>
      </c>
      <c r="F32" s="9" t="s">
        <v>305</v>
      </c>
      <c r="G32" s="10" t="s">
        <v>354</v>
      </c>
      <c r="H32" s="9"/>
      <c r="I32" s="9"/>
      <c r="J32" s="9"/>
      <c r="K32" s="9" t="s">
        <v>149</v>
      </c>
      <c r="L32" s="9"/>
      <c r="M32" s="9"/>
      <c r="N32" s="9"/>
      <c r="O32" s="9"/>
    </row>
    <row r="33" ht="15.75" customHeight="1">
      <c r="A33" s="9" t="s">
        <v>355</v>
      </c>
      <c r="B33" s="9" t="s">
        <v>356</v>
      </c>
      <c r="C33" s="9" t="s">
        <v>357</v>
      </c>
      <c r="D33" s="9" t="s">
        <v>358</v>
      </c>
      <c r="E33" s="9" t="s">
        <v>284</v>
      </c>
      <c r="F33" s="9" t="s">
        <v>359</v>
      </c>
      <c r="G33" s="9" t="s">
        <v>260</v>
      </c>
      <c r="H33" s="9"/>
      <c r="I33" s="9"/>
      <c r="J33" s="9"/>
      <c r="K33" s="9" t="s">
        <v>149</v>
      </c>
      <c r="L33" s="9"/>
      <c r="M33" s="9"/>
      <c r="N33" s="9"/>
      <c r="O33" s="9"/>
    </row>
    <row r="34" ht="15.75" customHeight="1">
      <c r="A34" s="9" t="s">
        <v>360</v>
      </c>
      <c r="B34" s="9" t="s">
        <v>356</v>
      </c>
      <c r="C34" s="9" t="s">
        <v>361</v>
      </c>
      <c r="D34" s="9" t="s">
        <v>362</v>
      </c>
      <c r="E34" s="9" t="s">
        <v>284</v>
      </c>
      <c r="F34" s="9" t="s">
        <v>359</v>
      </c>
      <c r="G34" s="9" t="s">
        <v>354</v>
      </c>
      <c r="H34" s="9"/>
      <c r="I34" s="9"/>
      <c r="J34" s="9"/>
      <c r="K34" s="9" t="s">
        <v>149</v>
      </c>
      <c r="L34" s="9"/>
      <c r="M34" s="9"/>
      <c r="N34" s="9"/>
      <c r="O34" s="9"/>
    </row>
    <row r="35" ht="15.75" customHeight="1">
      <c r="A35" s="9" t="s">
        <v>363</v>
      </c>
      <c r="B35" s="9" t="s">
        <v>364</v>
      </c>
      <c r="C35" s="9" t="s">
        <v>365</v>
      </c>
      <c r="D35" s="9" t="s">
        <v>366</v>
      </c>
      <c r="E35" s="9" t="s">
        <v>367</v>
      </c>
      <c r="F35" s="9" t="s">
        <v>259</v>
      </c>
      <c r="G35" s="9" t="s">
        <v>260</v>
      </c>
      <c r="H35" s="9"/>
      <c r="I35" s="9"/>
      <c r="J35" s="9"/>
      <c r="K35" s="9" t="s">
        <v>149</v>
      </c>
      <c r="L35" s="9"/>
      <c r="M35" s="9"/>
      <c r="N35" s="9"/>
      <c r="O35" s="9"/>
    </row>
    <row r="36" ht="15.75" customHeight="1">
      <c r="A36" s="9" t="s">
        <v>368</v>
      </c>
      <c r="B36" s="9" t="s">
        <v>369</v>
      </c>
      <c r="C36" s="9" t="s">
        <v>370</v>
      </c>
      <c r="D36" s="9" t="s">
        <v>371</v>
      </c>
      <c r="E36" s="9" t="s">
        <v>369</v>
      </c>
      <c r="F36" s="9" t="s">
        <v>259</v>
      </c>
      <c r="G36" s="9" t="s">
        <v>260</v>
      </c>
      <c r="H36" s="9"/>
      <c r="I36" s="9"/>
      <c r="J36" s="9"/>
      <c r="K36" s="9" t="s">
        <v>149</v>
      </c>
      <c r="L36" s="9"/>
      <c r="M36" s="9"/>
      <c r="N36" s="9"/>
      <c r="O36" s="9"/>
    </row>
    <row r="37" ht="15.75" customHeight="1">
      <c r="A37" s="9" t="s">
        <v>372</v>
      </c>
      <c r="B37" s="9" t="s">
        <v>369</v>
      </c>
      <c r="C37" s="9" t="s">
        <v>373</v>
      </c>
      <c r="D37" s="9" t="s">
        <v>374</v>
      </c>
      <c r="E37" s="9" t="s">
        <v>369</v>
      </c>
      <c r="F37" s="9" t="s">
        <v>259</v>
      </c>
      <c r="G37" s="9" t="s">
        <v>260</v>
      </c>
      <c r="H37" s="9"/>
      <c r="I37" s="9"/>
      <c r="J37" s="9"/>
      <c r="K37" s="9" t="s">
        <v>149</v>
      </c>
      <c r="L37" s="9"/>
      <c r="M37" s="9"/>
      <c r="N37" s="9"/>
      <c r="O37" s="9"/>
    </row>
    <row r="38" ht="15.75" customHeight="1">
      <c r="A38" s="9" t="s">
        <v>375</v>
      </c>
      <c r="B38" s="9" t="s">
        <v>369</v>
      </c>
      <c r="C38" s="9" t="s">
        <v>376</v>
      </c>
      <c r="D38" s="9" t="s">
        <v>377</v>
      </c>
      <c r="E38" s="9" t="s">
        <v>369</v>
      </c>
      <c r="F38" s="9" t="s">
        <v>259</v>
      </c>
      <c r="G38" s="9" t="s">
        <v>260</v>
      </c>
      <c r="H38" s="9"/>
      <c r="I38" s="9"/>
      <c r="J38" s="9"/>
      <c r="K38" s="9" t="s">
        <v>149</v>
      </c>
      <c r="L38" s="9"/>
      <c r="M38" s="9"/>
      <c r="N38" s="9"/>
      <c r="O38" s="9"/>
    </row>
    <row r="39" ht="15.75" customHeight="1">
      <c r="A39" s="9" t="s">
        <v>378</v>
      </c>
      <c r="B39" s="9" t="s">
        <v>369</v>
      </c>
      <c r="C39" s="9" t="s">
        <v>379</v>
      </c>
      <c r="D39" s="9" t="s">
        <v>380</v>
      </c>
      <c r="E39" s="9" t="s">
        <v>369</v>
      </c>
      <c r="F39" s="9" t="s">
        <v>259</v>
      </c>
      <c r="G39" s="9" t="s">
        <v>260</v>
      </c>
      <c r="H39" s="9"/>
      <c r="I39" s="9"/>
      <c r="J39" s="9"/>
      <c r="K39" s="9" t="s">
        <v>149</v>
      </c>
      <c r="L39" s="9"/>
      <c r="M39" s="9"/>
      <c r="N39" s="9"/>
      <c r="O39" s="9"/>
    </row>
    <row r="40" ht="15.75" customHeight="1">
      <c r="A40" s="9" t="s">
        <v>381</v>
      </c>
      <c r="B40" s="9" t="s">
        <v>369</v>
      </c>
      <c r="C40" s="9" t="s">
        <v>382</v>
      </c>
      <c r="D40" s="9" t="s">
        <v>383</v>
      </c>
      <c r="E40" s="9" t="s">
        <v>369</v>
      </c>
      <c r="F40" s="9" t="s">
        <v>305</v>
      </c>
      <c r="G40" s="9" t="s">
        <v>260</v>
      </c>
      <c r="H40" s="9"/>
      <c r="I40" s="9"/>
      <c r="J40" s="9"/>
      <c r="K40" s="9" t="s">
        <v>149</v>
      </c>
      <c r="L40" s="9"/>
      <c r="M40" s="9"/>
      <c r="N40" s="9"/>
      <c r="O40" s="9"/>
    </row>
    <row r="41" ht="15.75" customHeight="1">
      <c r="A41" s="9" t="s">
        <v>384</v>
      </c>
      <c r="B41" s="9" t="s">
        <v>369</v>
      </c>
      <c r="C41" s="9" t="s">
        <v>385</v>
      </c>
      <c r="D41" s="9" t="s">
        <v>386</v>
      </c>
      <c r="E41" s="9" t="s">
        <v>369</v>
      </c>
      <c r="F41" s="9" t="s">
        <v>305</v>
      </c>
      <c r="G41" s="9" t="s">
        <v>260</v>
      </c>
      <c r="H41" s="9"/>
      <c r="I41" s="9"/>
      <c r="J41" s="9"/>
      <c r="K41" s="9" t="s">
        <v>149</v>
      </c>
      <c r="L41" s="9"/>
      <c r="M41" s="9"/>
      <c r="N41" s="9"/>
      <c r="O41" s="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2"/>
  </mergeCells>
  <conditionalFormatting sqref="K5:K41">
    <cfRule type="cellIs" dxfId="0" priority="1" operator="equal">
      <formula>"Done"</formula>
    </cfRule>
  </conditionalFormatting>
  <conditionalFormatting sqref="K5:K41">
    <cfRule type="cellIs" dxfId="1" priority="2" operator="equal">
      <formula>"In Progress"</formula>
    </cfRule>
  </conditionalFormatting>
  <conditionalFormatting sqref="K5:K41">
    <cfRule type="cellIs" dxfId="2" priority="3" operator="equal">
      <formula>"Blocked"</formula>
    </cfRule>
  </conditionalFormatting>
  <conditionalFormatting sqref="K5:K41">
    <cfRule type="cellIs" dxfId="3" priority="4" operator="equal">
      <formula>"Not Started"</formula>
    </cfRule>
  </conditionalFormatting>
  <conditionalFormatting sqref="K5:K41">
    <cfRule type="cellIs" dxfId="4" priority="5" operator="equal">
      <formula>"In Review"</formula>
    </cfRule>
  </conditionalFormatting>
  <conditionalFormatting sqref="K5:K41">
    <cfRule type="cellIs" dxfId="0" priority="6" operator="equal">
      <formula>"Fixed"</formula>
    </cfRule>
  </conditionalFormatting>
  <conditionalFormatting sqref="K5:K41">
    <cfRule type="cellIs" dxfId="5" priority="7" operator="equal">
      <formula>"Verified"</formula>
    </cfRule>
  </conditionalFormatting>
  <conditionalFormatting sqref="K5:K41">
    <cfRule type="cellIs" dxfId="6" priority="8" operator="equal">
      <formula>"Won't Fix"</formula>
    </cfRule>
  </conditionalFormatting>
  <conditionalFormatting sqref="K5:K41">
    <cfRule type="cellIs" dxfId="7" priority="9" operator="equal">
      <formula>"New"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7.0"/>
    <col customWidth="1" min="2" max="2" width="10.5"/>
    <col customWidth="1" min="3" max="3" width="24.5"/>
    <col customWidth="1" min="4" max="4" width="43.75"/>
    <col customWidth="1" min="5" max="6" width="8.75"/>
    <col customWidth="1" min="7" max="7" width="6.13"/>
    <col customWidth="1" min="8" max="8" width="8.75"/>
    <col customWidth="1" min="9" max="9" width="10.5"/>
    <col customWidth="1" min="10" max="10" width="12.25"/>
    <col customWidth="1" min="11" max="11" width="15.75"/>
    <col customWidth="1" min="12" max="26" width="7.63"/>
  </cols>
  <sheetData>
    <row r="1" ht="15.0" customHeight="1">
      <c r="A1" s="38" t="s">
        <v>387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4">
      <c r="A4" s="8" t="s">
        <v>108</v>
      </c>
      <c r="B4" s="8" t="s">
        <v>242</v>
      </c>
      <c r="C4" s="8" t="s">
        <v>388</v>
      </c>
      <c r="D4" s="39" t="s">
        <v>389</v>
      </c>
      <c r="E4" s="8" t="s">
        <v>390</v>
      </c>
      <c r="F4" s="8" t="s">
        <v>246</v>
      </c>
      <c r="G4" s="8" t="s">
        <v>204</v>
      </c>
      <c r="H4" s="8" t="s">
        <v>143</v>
      </c>
      <c r="I4" s="8" t="s">
        <v>391</v>
      </c>
      <c r="J4" s="8" t="s">
        <v>144</v>
      </c>
      <c r="K4" s="8" t="s">
        <v>392</v>
      </c>
    </row>
    <row r="5">
      <c r="A5" s="10" t="s">
        <v>393</v>
      </c>
      <c r="B5" s="10" t="s">
        <v>394</v>
      </c>
      <c r="C5" s="10" t="s">
        <v>395</v>
      </c>
      <c r="D5" s="10" t="s">
        <v>396</v>
      </c>
      <c r="E5" s="9"/>
      <c r="F5" s="9" t="s">
        <v>259</v>
      </c>
      <c r="G5" s="9" t="s">
        <v>260</v>
      </c>
      <c r="H5" s="10" t="s">
        <v>155</v>
      </c>
      <c r="I5" s="9" t="s">
        <v>397</v>
      </c>
      <c r="J5" s="9" t="s">
        <v>149</v>
      </c>
      <c r="K5" s="9"/>
    </row>
    <row r="6">
      <c r="A6" s="10" t="s">
        <v>398</v>
      </c>
      <c r="B6" s="9" t="s">
        <v>265</v>
      </c>
      <c r="C6" s="9" t="s">
        <v>399</v>
      </c>
      <c r="D6" s="9" t="s">
        <v>400</v>
      </c>
      <c r="E6" s="9" t="s">
        <v>401</v>
      </c>
      <c r="F6" s="9" t="s">
        <v>259</v>
      </c>
      <c r="G6" s="9" t="s">
        <v>260</v>
      </c>
      <c r="H6" s="9" t="s">
        <v>153</v>
      </c>
      <c r="I6" s="9" t="s">
        <v>397</v>
      </c>
      <c r="J6" s="9" t="s">
        <v>149</v>
      </c>
      <c r="K6" s="9" t="s">
        <v>402</v>
      </c>
    </row>
    <row r="7">
      <c r="A7" s="10" t="s">
        <v>403</v>
      </c>
      <c r="B7" s="9" t="s">
        <v>265</v>
      </c>
      <c r="C7" s="9" t="s">
        <v>404</v>
      </c>
      <c r="D7" s="9" t="s">
        <v>405</v>
      </c>
      <c r="E7" s="9" t="s">
        <v>401</v>
      </c>
      <c r="F7" s="9" t="s">
        <v>259</v>
      </c>
      <c r="G7" s="9" t="s">
        <v>260</v>
      </c>
      <c r="H7" s="9" t="s">
        <v>153</v>
      </c>
      <c r="I7" s="9" t="s">
        <v>397</v>
      </c>
      <c r="J7" s="9" t="s">
        <v>149</v>
      </c>
      <c r="K7" s="9" t="s">
        <v>271</v>
      </c>
    </row>
    <row r="8">
      <c r="A8" s="10" t="s">
        <v>406</v>
      </c>
      <c r="B8" s="9" t="s">
        <v>265</v>
      </c>
      <c r="C8" s="9" t="s">
        <v>407</v>
      </c>
      <c r="D8" s="10" t="s">
        <v>408</v>
      </c>
      <c r="E8" s="9" t="s">
        <v>401</v>
      </c>
      <c r="F8" s="9" t="s">
        <v>259</v>
      </c>
      <c r="G8" s="9" t="s">
        <v>260</v>
      </c>
      <c r="H8" s="9" t="s">
        <v>153</v>
      </c>
      <c r="I8" s="9" t="s">
        <v>397</v>
      </c>
      <c r="J8" s="9" t="s">
        <v>149</v>
      </c>
      <c r="K8" s="9" t="s">
        <v>409</v>
      </c>
    </row>
    <row r="9">
      <c r="A9" s="10" t="s">
        <v>410</v>
      </c>
      <c r="B9" s="9" t="s">
        <v>265</v>
      </c>
      <c r="C9" s="9" t="s">
        <v>411</v>
      </c>
      <c r="D9" s="9" t="s">
        <v>412</v>
      </c>
      <c r="E9" s="9" t="s">
        <v>401</v>
      </c>
      <c r="F9" s="9" t="s">
        <v>359</v>
      </c>
      <c r="G9" s="9" t="s">
        <v>354</v>
      </c>
      <c r="H9" s="9" t="s">
        <v>153</v>
      </c>
      <c r="I9" s="9" t="s">
        <v>397</v>
      </c>
      <c r="J9" s="9" t="s">
        <v>149</v>
      </c>
      <c r="K9" s="9" t="s">
        <v>271</v>
      </c>
    </row>
    <row r="10">
      <c r="A10" s="9" t="s">
        <v>413</v>
      </c>
      <c r="B10" s="9" t="s">
        <v>286</v>
      </c>
      <c r="C10" s="9" t="s">
        <v>414</v>
      </c>
      <c r="D10" s="9" t="s">
        <v>415</v>
      </c>
      <c r="E10" s="9" t="s">
        <v>401</v>
      </c>
      <c r="F10" s="9" t="s">
        <v>259</v>
      </c>
      <c r="G10" s="9" t="s">
        <v>260</v>
      </c>
      <c r="H10" s="9" t="s">
        <v>159</v>
      </c>
      <c r="I10" s="9" t="s">
        <v>416</v>
      </c>
      <c r="J10" s="9" t="s">
        <v>149</v>
      </c>
      <c r="K10" s="9" t="s">
        <v>285</v>
      </c>
    </row>
    <row r="11">
      <c r="A11" s="9" t="s">
        <v>417</v>
      </c>
      <c r="B11" s="9" t="s">
        <v>286</v>
      </c>
      <c r="C11" s="9" t="s">
        <v>418</v>
      </c>
      <c r="D11" s="9" t="s">
        <v>419</v>
      </c>
      <c r="E11" s="9" t="s">
        <v>401</v>
      </c>
      <c r="F11" s="9" t="s">
        <v>259</v>
      </c>
      <c r="G11" s="9" t="s">
        <v>260</v>
      </c>
      <c r="H11" s="9" t="s">
        <v>159</v>
      </c>
      <c r="I11" s="9" t="s">
        <v>416</v>
      </c>
      <c r="J11" s="9" t="s">
        <v>149</v>
      </c>
      <c r="K11" s="9" t="s">
        <v>289</v>
      </c>
    </row>
    <row r="12">
      <c r="A12" s="9" t="s">
        <v>420</v>
      </c>
      <c r="B12" s="9" t="s">
        <v>286</v>
      </c>
      <c r="C12" s="9" t="s">
        <v>421</v>
      </c>
      <c r="D12" s="9" t="s">
        <v>422</v>
      </c>
      <c r="E12" s="9" t="s">
        <v>401</v>
      </c>
      <c r="F12" s="9" t="s">
        <v>259</v>
      </c>
      <c r="G12" s="9" t="s">
        <v>260</v>
      </c>
      <c r="H12" s="9" t="s">
        <v>159</v>
      </c>
      <c r="I12" s="9" t="s">
        <v>416</v>
      </c>
      <c r="J12" s="9" t="s">
        <v>149</v>
      </c>
      <c r="K12" s="9" t="s">
        <v>292</v>
      </c>
    </row>
    <row r="13">
      <c r="A13" s="9" t="s">
        <v>423</v>
      </c>
      <c r="B13" s="9" t="s">
        <v>286</v>
      </c>
      <c r="C13" s="10" t="s">
        <v>424</v>
      </c>
      <c r="D13" s="10" t="s">
        <v>425</v>
      </c>
      <c r="E13" s="9" t="s">
        <v>426</v>
      </c>
      <c r="F13" s="9" t="s">
        <v>259</v>
      </c>
      <c r="G13" s="9" t="s">
        <v>260</v>
      </c>
      <c r="H13" s="9" t="s">
        <v>155</v>
      </c>
      <c r="I13" s="9" t="s">
        <v>427</v>
      </c>
      <c r="J13" s="9" t="s">
        <v>149</v>
      </c>
      <c r="K13" s="9" t="s">
        <v>428</v>
      </c>
    </row>
    <row r="14">
      <c r="A14" s="9" t="s">
        <v>429</v>
      </c>
      <c r="B14" s="9" t="s">
        <v>286</v>
      </c>
      <c r="C14" s="9" t="s">
        <v>430</v>
      </c>
      <c r="D14" s="9" t="s">
        <v>431</v>
      </c>
      <c r="E14" s="9" t="s">
        <v>426</v>
      </c>
      <c r="F14" s="9" t="s">
        <v>305</v>
      </c>
      <c r="G14" s="9" t="s">
        <v>260</v>
      </c>
      <c r="H14" s="9" t="s">
        <v>159</v>
      </c>
      <c r="I14" s="9" t="s">
        <v>397</v>
      </c>
      <c r="J14" s="9" t="s">
        <v>149</v>
      </c>
      <c r="K14" s="9" t="s">
        <v>432</v>
      </c>
    </row>
    <row r="15">
      <c r="A15" s="9" t="s">
        <v>433</v>
      </c>
      <c r="B15" s="9" t="s">
        <v>286</v>
      </c>
      <c r="C15" s="9" t="s">
        <v>434</v>
      </c>
      <c r="D15" s="9" t="s">
        <v>435</v>
      </c>
      <c r="E15" s="9" t="s">
        <v>426</v>
      </c>
      <c r="F15" s="9" t="s">
        <v>305</v>
      </c>
      <c r="G15" s="9" t="s">
        <v>260</v>
      </c>
      <c r="H15" s="9" t="s">
        <v>162</v>
      </c>
      <c r="I15" s="9" t="s">
        <v>427</v>
      </c>
      <c r="J15" s="9" t="s">
        <v>149</v>
      </c>
      <c r="K15" s="9" t="s">
        <v>316</v>
      </c>
    </row>
    <row r="16">
      <c r="A16" s="9" t="s">
        <v>436</v>
      </c>
      <c r="B16" s="9" t="s">
        <v>437</v>
      </c>
      <c r="C16" s="9" t="s">
        <v>438</v>
      </c>
      <c r="D16" s="9" t="s">
        <v>439</v>
      </c>
      <c r="E16" s="9" t="s">
        <v>426</v>
      </c>
      <c r="F16" s="9" t="s">
        <v>259</v>
      </c>
      <c r="G16" s="9" t="s">
        <v>260</v>
      </c>
      <c r="H16" s="9" t="s">
        <v>153</v>
      </c>
      <c r="I16" s="9" t="s">
        <v>440</v>
      </c>
      <c r="J16" s="9" t="s">
        <v>149</v>
      </c>
      <c r="K16" s="9" t="s">
        <v>428</v>
      </c>
    </row>
    <row r="17">
      <c r="A17" s="9" t="s">
        <v>441</v>
      </c>
      <c r="B17" s="9" t="s">
        <v>437</v>
      </c>
      <c r="C17" s="9" t="s">
        <v>442</v>
      </c>
      <c r="D17" s="9" t="s">
        <v>443</v>
      </c>
      <c r="E17" s="9" t="s">
        <v>401</v>
      </c>
      <c r="F17" s="9" t="s">
        <v>259</v>
      </c>
      <c r="G17" s="9" t="s">
        <v>260</v>
      </c>
      <c r="H17" s="9" t="s">
        <v>153</v>
      </c>
      <c r="I17" s="9" t="s">
        <v>427</v>
      </c>
      <c r="J17" s="9" t="s">
        <v>149</v>
      </c>
      <c r="K17" s="9" t="s">
        <v>428</v>
      </c>
    </row>
    <row r="18">
      <c r="A18" s="9" t="s">
        <v>444</v>
      </c>
      <c r="B18" s="9" t="s">
        <v>437</v>
      </c>
      <c r="C18" s="9" t="s">
        <v>445</v>
      </c>
      <c r="D18" s="10" t="s">
        <v>446</v>
      </c>
      <c r="E18" s="9" t="s">
        <v>347</v>
      </c>
      <c r="F18" s="9" t="s">
        <v>259</v>
      </c>
      <c r="G18" s="9" t="s">
        <v>260</v>
      </c>
      <c r="H18" s="9" t="s">
        <v>153</v>
      </c>
      <c r="I18" s="9" t="s">
        <v>427</v>
      </c>
      <c r="J18" s="9" t="s">
        <v>149</v>
      </c>
      <c r="K18" s="9" t="s">
        <v>428</v>
      </c>
    </row>
    <row r="19">
      <c r="A19" s="9" t="s">
        <v>447</v>
      </c>
      <c r="B19" s="9" t="s">
        <v>437</v>
      </c>
      <c r="C19" s="9" t="s">
        <v>448</v>
      </c>
      <c r="D19" s="9" t="s">
        <v>449</v>
      </c>
      <c r="E19" s="9" t="s">
        <v>450</v>
      </c>
      <c r="F19" s="9" t="s">
        <v>259</v>
      </c>
      <c r="G19" s="9" t="s">
        <v>260</v>
      </c>
      <c r="H19" s="9" t="s">
        <v>155</v>
      </c>
      <c r="I19" s="9" t="s">
        <v>397</v>
      </c>
      <c r="J19" s="9" t="s">
        <v>149</v>
      </c>
      <c r="K19" s="9" t="s">
        <v>450</v>
      </c>
    </row>
    <row r="20">
      <c r="A20" s="9" t="s">
        <v>451</v>
      </c>
      <c r="B20" s="9" t="s">
        <v>452</v>
      </c>
      <c r="C20" s="9" t="s">
        <v>453</v>
      </c>
      <c r="D20" s="9" t="s">
        <v>454</v>
      </c>
      <c r="E20" s="9" t="s">
        <v>426</v>
      </c>
      <c r="F20" s="9" t="s">
        <v>259</v>
      </c>
      <c r="G20" s="9" t="s">
        <v>260</v>
      </c>
      <c r="H20" s="9" t="s">
        <v>153</v>
      </c>
      <c r="I20" s="9" t="s">
        <v>397</v>
      </c>
      <c r="J20" s="9" t="s">
        <v>149</v>
      </c>
      <c r="K20" s="9" t="s">
        <v>338</v>
      </c>
    </row>
    <row r="21">
      <c r="A21" s="9" t="s">
        <v>455</v>
      </c>
      <c r="B21" s="9" t="s">
        <v>452</v>
      </c>
      <c r="C21" s="9" t="s">
        <v>456</v>
      </c>
      <c r="D21" s="9" t="s">
        <v>457</v>
      </c>
      <c r="E21" s="9" t="s">
        <v>401</v>
      </c>
      <c r="F21" s="9" t="s">
        <v>305</v>
      </c>
      <c r="G21" s="9" t="s">
        <v>260</v>
      </c>
      <c r="H21" s="9" t="s">
        <v>153</v>
      </c>
      <c r="I21" s="9" t="s">
        <v>427</v>
      </c>
      <c r="J21" s="9" t="s">
        <v>149</v>
      </c>
      <c r="K21" s="9" t="s">
        <v>341</v>
      </c>
    </row>
    <row r="22" ht="15.75" customHeight="1">
      <c r="A22" s="9" t="s">
        <v>458</v>
      </c>
      <c r="B22" s="9" t="s">
        <v>452</v>
      </c>
      <c r="C22" s="9" t="s">
        <v>459</v>
      </c>
      <c r="D22" s="9" t="s">
        <v>460</v>
      </c>
      <c r="E22" s="9" t="s">
        <v>401</v>
      </c>
      <c r="F22" s="9" t="s">
        <v>305</v>
      </c>
      <c r="G22" s="9" t="s">
        <v>260</v>
      </c>
      <c r="H22" s="9" t="s">
        <v>153</v>
      </c>
      <c r="I22" s="9" t="s">
        <v>427</v>
      </c>
      <c r="J22" s="9" t="s">
        <v>149</v>
      </c>
      <c r="K22" s="9" t="s">
        <v>341</v>
      </c>
    </row>
    <row r="23" ht="15.75" customHeight="1">
      <c r="A23" s="9" t="s">
        <v>461</v>
      </c>
      <c r="B23" s="9" t="s">
        <v>452</v>
      </c>
      <c r="C23" s="9" t="s">
        <v>462</v>
      </c>
      <c r="D23" s="9" t="s">
        <v>463</v>
      </c>
      <c r="E23" s="9" t="s">
        <v>347</v>
      </c>
      <c r="F23" s="9" t="s">
        <v>305</v>
      </c>
      <c r="G23" s="9" t="s">
        <v>260</v>
      </c>
      <c r="H23" s="9" t="s">
        <v>162</v>
      </c>
      <c r="I23" s="9" t="s">
        <v>397</v>
      </c>
      <c r="J23" s="9" t="s">
        <v>149</v>
      </c>
      <c r="K23" s="9" t="s">
        <v>344</v>
      </c>
    </row>
    <row r="24" ht="15.75" customHeight="1">
      <c r="A24" s="9" t="s">
        <v>464</v>
      </c>
      <c r="B24" s="9" t="s">
        <v>452</v>
      </c>
      <c r="C24" s="9" t="s">
        <v>465</v>
      </c>
      <c r="D24" s="9" t="s">
        <v>466</v>
      </c>
      <c r="E24" s="9" t="s">
        <v>347</v>
      </c>
      <c r="F24" s="9" t="s">
        <v>359</v>
      </c>
      <c r="G24" s="9" t="s">
        <v>354</v>
      </c>
      <c r="H24" s="9" t="s">
        <v>153</v>
      </c>
      <c r="I24" s="9" t="s">
        <v>397</v>
      </c>
      <c r="J24" s="9" t="s">
        <v>149</v>
      </c>
      <c r="K24" s="9" t="s">
        <v>334</v>
      </c>
    </row>
    <row r="25" ht="15.75" customHeight="1">
      <c r="A25" s="9" t="s">
        <v>467</v>
      </c>
      <c r="B25" s="9" t="s">
        <v>328</v>
      </c>
      <c r="C25" s="9" t="s">
        <v>468</v>
      </c>
      <c r="D25" s="9" t="s">
        <v>469</v>
      </c>
      <c r="E25" s="9" t="s">
        <v>426</v>
      </c>
      <c r="F25" s="9" t="s">
        <v>259</v>
      </c>
      <c r="G25" s="9" t="s">
        <v>260</v>
      </c>
      <c r="H25" s="9" t="s">
        <v>153</v>
      </c>
      <c r="I25" s="9" t="s">
        <v>397</v>
      </c>
      <c r="J25" s="9" t="s">
        <v>149</v>
      </c>
      <c r="K25" s="9" t="s">
        <v>327</v>
      </c>
    </row>
    <row r="26" ht="15.75" customHeight="1">
      <c r="A26" s="9" t="s">
        <v>470</v>
      </c>
      <c r="B26" s="9" t="s">
        <v>328</v>
      </c>
      <c r="C26" s="9" t="s">
        <v>471</v>
      </c>
      <c r="D26" s="9" t="s">
        <v>472</v>
      </c>
      <c r="E26" s="9" t="s">
        <v>426</v>
      </c>
      <c r="F26" s="9" t="s">
        <v>259</v>
      </c>
      <c r="G26" s="9" t="s">
        <v>260</v>
      </c>
      <c r="H26" s="9" t="s">
        <v>153</v>
      </c>
      <c r="I26" s="9" t="s">
        <v>397</v>
      </c>
      <c r="J26" s="9" t="s">
        <v>149</v>
      </c>
      <c r="K26" s="9" t="s">
        <v>327</v>
      </c>
    </row>
    <row r="27" ht="15.75" customHeight="1">
      <c r="A27" s="9" t="s">
        <v>473</v>
      </c>
      <c r="B27" s="9" t="s">
        <v>328</v>
      </c>
      <c r="C27" s="9" t="s">
        <v>474</v>
      </c>
      <c r="D27" s="9" t="s">
        <v>475</v>
      </c>
      <c r="E27" s="9" t="s">
        <v>426</v>
      </c>
      <c r="F27" s="9" t="s">
        <v>259</v>
      </c>
      <c r="G27" s="9" t="s">
        <v>260</v>
      </c>
      <c r="H27" s="9" t="s">
        <v>153</v>
      </c>
      <c r="I27" s="9" t="s">
        <v>427</v>
      </c>
      <c r="J27" s="9" t="s">
        <v>149</v>
      </c>
      <c r="K27" s="9" t="s">
        <v>280</v>
      </c>
    </row>
    <row r="28" ht="15.75" customHeight="1">
      <c r="A28" s="9" t="s">
        <v>476</v>
      </c>
      <c r="B28" s="9" t="s">
        <v>477</v>
      </c>
      <c r="C28" s="9" t="s">
        <v>478</v>
      </c>
      <c r="D28" s="9" t="s">
        <v>479</v>
      </c>
      <c r="E28" s="9" t="s">
        <v>450</v>
      </c>
      <c r="F28" s="9" t="s">
        <v>259</v>
      </c>
      <c r="G28" s="9" t="s">
        <v>260</v>
      </c>
      <c r="H28" s="9" t="s">
        <v>155</v>
      </c>
      <c r="I28" s="9" t="s">
        <v>416</v>
      </c>
      <c r="J28" s="9" t="s">
        <v>149</v>
      </c>
      <c r="K28" s="9" t="s">
        <v>450</v>
      </c>
    </row>
    <row r="29" ht="15.75" customHeight="1">
      <c r="A29" s="9" t="s">
        <v>480</v>
      </c>
      <c r="B29" s="9" t="s">
        <v>477</v>
      </c>
      <c r="C29" s="9" t="s">
        <v>481</v>
      </c>
      <c r="D29" s="9" t="s">
        <v>482</v>
      </c>
      <c r="E29" s="9" t="s">
        <v>369</v>
      </c>
      <c r="F29" s="9" t="s">
        <v>259</v>
      </c>
      <c r="G29" s="9" t="s">
        <v>260</v>
      </c>
      <c r="H29" s="9" t="s">
        <v>159</v>
      </c>
      <c r="I29" s="9" t="s">
        <v>397</v>
      </c>
      <c r="J29" s="9" t="s">
        <v>149</v>
      </c>
      <c r="K29" s="9" t="s">
        <v>378</v>
      </c>
    </row>
    <row r="30" ht="15.75" customHeight="1">
      <c r="A30" s="9" t="s">
        <v>483</v>
      </c>
      <c r="B30" s="9" t="s">
        <v>477</v>
      </c>
      <c r="C30" s="9" t="s">
        <v>484</v>
      </c>
      <c r="D30" s="9" t="s">
        <v>485</v>
      </c>
      <c r="E30" s="9" t="s">
        <v>369</v>
      </c>
      <c r="F30" s="9" t="s">
        <v>305</v>
      </c>
      <c r="G30" s="9" t="s">
        <v>260</v>
      </c>
      <c r="H30" s="9" t="s">
        <v>155</v>
      </c>
      <c r="I30" s="9" t="s">
        <v>427</v>
      </c>
      <c r="J30" s="9" t="s">
        <v>149</v>
      </c>
      <c r="K30" s="9" t="s">
        <v>450</v>
      </c>
    </row>
    <row r="31" ht="15.75" customHeight="1">
      <c r="A31" s="9" t="s">
        <v>486</v>
      </c>
      <c r="B31" s="9" t="s">
        <v>487</v>
      </c>
      <c r="C31" s="9" t="s">
        <v>488</v>
      </c>
      <c r="D31" s="9" t="s">
        <v>489</v>
      </c>
      <c r="E31" s="9" t="s">
        <v>426</v>
      </c>
      <c r="F31" s="9" t="s">
        <v>259</v>
      </c>
      <c r="G31" s="9" t="s">
        <v>260</v>
      </c>
      <c r="H31" s="9" t="s">
        <v>155</v>
      </c>
      <c r="I31" s="9" t="s">
        <v>397</v>
      </c>
      <c r="J31" s="9" t="s">
        <v>149</v>
      </c>
      <c r="K31" s="9" t="s">
        <v>450</v>
      </c>
    </row>
    <row r="32" ht="15.75" customHeight="1">
      <c r="A32" s="9" t="s">
        <v>490</v>
      </c>
      <c r="B32" s="9" t="s">
        <v>487</v>
      </c>
      <c r="C32" s="9" t="s">
        <v>325</v>
      </c>
      <c r="D32" s="9" t="s">
        <v>491</v>
      </c>
      <c r="E32" s="9" t="s">
        <v>426</v>
      </c>
      <c r="F32" s="9" t="s">
        <v>259</v>
      </c>
      <c r="G32" s="9" t="s">
        <v>260</v>
      </c>
      <c r="H32" s="9" t="s">
        <v>153</v>
      </c>
      <c r="I32" s="9" t="s">
        <v>397</v>
      </c>
      <c r="J32" s="9" t="s">
        <v>149</v>
      </c>
      <c r="K32" s="9" t="s">
        <v>323</v>
      </c>
    </row>
    <row r="33" ht="15.75" customHeight="1">
      <c r="A33" s="9" t="s">
        <v>492</v>
      </c>
      <c r="B33" s="9" t="s">
        <v>487</v>
      </c>
      <c r="C33" s="9" t="s">
        <v>493</v>
      </c>
      <c r="D33" s="9" t="s">
        <v>494</v>
      </c>
      <c r="E33" s="9" t="s">
        <v>347</v>
      </c>
      <c r="F33" s="9" t="s">
        <v>359</v>
      </c>
      <c r="G33" s="9" t="s">
        <v>354</v>
      </c>
      <c r="H33" s="9" t="s">
        <v>153</v>
      </c>
      <c r="I33" s="9" t="s">
        <v>397</v>
      </c>
      <c r="J33" s="9" t="s">
        <v>149</v>
      </c>
      <c r="K33" s="9" t="s">
        <v>323</v>
      </c>
    </row>
    <row r="34" ht="15.75" customHeight="1">
      <c r="A34" s="9" t="s">
        <v>495</v>
      </c>
      <c r="B34" s="9" t="s">
        <v>347</v>
      </c>
      <c r="C34" s="9" t="s">
        <v>496</v>
      </c>
      <c r="D34" s="9" t="s">
        <v>497</v>
      </c>
      <c r="E34" s="9" t="s">
        <v>426</v>
      </c>
      <c r="F34" s="9" t="s">
        <v>259</v>
      </c>
      <c r="G34" s="9" t="s">
        <v>260</v>
      </c>
      <c r="H34" s="9" t="s">
        <v>153</v>
      </c>
      <c r="I34" s="9" t="s">
        <v>416</v>
      </c>
      <c r="J34" s="9" t="s">
        <v>149</v>
      </c>
      <c r="K34" s="9" t="s">
        <v>348</v>
      </c>
    </row>
    <row r="35" ht="15.75" customHeight="1">
      <c r="A35" s="9" t="s">
        <v>498</v>
      </c>
      <c r="B35" s="9" t="s">
        <v>347</v>
      </c>
      <c r="C35" s="9" t="s">
        <v>499</v>
      </c>
      <c r="D35" s="9" t="s">
        <v>500</v>
      </c>
      <c r="E35" s="9" t="s">
        <v>347</v>
      </c>
      <c r="F35" s="9" t="s">
        <v>305</v>
      </c>
      <c r="G35" s="9" t="s">
        <v>354</v>
      </c>
      <c r="H35" s="9" t="s">
        <v>153</v>
      </c>
      <c r="I35" s="9" t="s">
        <v>416</v>
      </c>
      <c r="J35" s="9" t="s">
        <v>149</v>
      </c>
      <c r="K35" s="9" t="s">
        <v>501</v>
      </c>
    </row>
    <row r="36" ht="15.75" customHeight="1">
      <c r="A36" s="9" t="s">
        <v>502</v>
      </c>
      <c r="B36" s="9" t="s">
        <v>347</v>
      </c>
      <c r="C36" s="9" t="s">
        <v>503</v>
      </c>
      <c r="D36" s="9" t="s">
        <v>504</v>
      </c>
      <c r="E36" s="9" t="s">
        <v>347</v>
      </c>
      <c r="F36" s="9" t="s">
        <v>359</v>
      </c>
      <c r="G36" s="9" t="s">
        <v>354</v>
      </c>
      <c r="H36" s="9" t="s">
        <v>155</v>
      </c>
      <c r="I36" s="9" t="s">
        <v>397</v>
      </c>
      <c r="J36" s="9" t="s">
        <v>149</v>
      </c>
      <c r="K36" s="9" t="s">
        <v>348</v>
      </c>
    </row>
    <row r="37" ht="15.75" customHeight="1">
      <c r="A37" s="9" t="s">
        <v>505</v>
      </c>
      <c r="B37" s="9" t="s">
        <v>506</v>
      </c>
      <c r="C37" s="9" t="s">
        <v>507</v>
      </c>
      <c r="D37" s="9" t="s">
        <v>508</v>
      </c>
      <c r="E37" s="9" t="s">
        <v>347</v>
      </c>
      <c r="F37" s="9" t="s">
        <v>305</v>
      </c>
      <c r="G37" s="9" t="s">
        <v>354</v>
      </c>
      <c r="H37" s="9" t="s">
        <v>153</v>
      </c>
      <c r="I37" s="9" t="s">
        <v>416</v>
      </c>
      <c r="J37" s="9" t="s">
        <v>149</v>
      </c>
      <c r="K37" s="9" t="s">
        <v>450</v>
      </c>
    </row>
    <row r="38" ht="15.75" customHeight="1">
      <c r="A38" s="9" t="s">
        <v>509</v>
      </c>
      <c r="B38" s="9" t="s">
        <v>506</v>
      </c>
      <c r="C38" s="9" t="s">
        <v>510</v>
      </c>
      <c r="D38" s="9" t="s">
        <v>511</v>
      </c>
      <c r="E38" s="9" t="s">
        <v>347</v>
      </c>
      <c r="F38" s="9" t="s">
        <v>305</v>
      </c>
      <c r="G38" s="9" t="s">
        <v>354</v>
      </c>
      <c r="H38" s="9" t="s">
        <v>153</v>
      </c>
      <c r="I38" s="9" t="s">
        <v>416</v>
      </c>
      <c r="J38" s="9" t="s">
        <v>149</v>
      </c>
      <c r="K38" s="9" t="s">
        <v>450</v>
      </c>
    </row>
    <row r="39" ht="15.75" customHeight="1">
      <c r="A39" s="9" t="s">
        <v>512</v>
      </c>
      <c r="B39" s="9" t="s">
        <v>506</v>
      </c>
      <c r="C39" s="9" t="s">
        <v>513</v>
      </c>
      <c r="D39" s="9" t="s">
        <v>514</v>
      </c>
      <c r="E39" s="9" t="s">
        <v>347</v>
      </c>
      <c r="F39" s="9" t="s">
        <v>359</v>
      </c>
      <c r="G39" s="9" t="s">
        <v>354</v>
      </c>
      <c r="H39" s="9" t="s">
        <v>155</v>
      </c>
      <c r="I39" s="9" t="s">
        <v>397</v>
      </c>
      <c r="J39" s="9" t="s">
        <v>149</v>
      </c>
      <c r="K39" s="9" t="s">
        <v>450</v>
      </c>
    </row>
    <row r="40" ht="15.75" customHeight="1">
      <c r="A40" s="9" t="s">
        <v>515</v>
      </c>
      <c r="B40" s="9" t="s">
        <v>506</v>
      </c>
      <c r="C40" s="9" t="s">
        <v>516</v>
      </c>
      <c r="D40" s="9" t="s">
        <v>517</v>
      </c>
      <c r="E40" s="9" t="s">
        <v>347</v>
      </c>
      <c r="F40" s="9" t="s">
        <v>359</v>
      </c>
      <c r="G40" s="9" t="s">
        <v>354</v>
      </c>
      <c r="H40" s="9" t="s">
        <v>153</v>
      </c>
      <c r="I40" s="9" t="s">
        <v>440</v>
      </c>
      <c r="J40" s="9" t="s">
        <v>149</v>
      </c>
      <c r="K40" s="9" t="s">
        <v>450</v>
      </c>
    </row>
    <row r="41" ht="15.75" customHeight="1">
      <c r="A41" s="9" t="s">
        <v>518</v>
      </c>
      <c r="B41" s="9" t="s">
        <v>506</v>
      </c>
      <c r="C41" s="9" t="s">
        <v>519</v>
      </c>
      <c r="D41" s="9" t="s">
        <v>520</v>
      </c>
      <c r="E41" s="9" t="s">
        <v>450</v>
      </c>
      <c r="F41" s="9" t="s">
        <v>305</v>
      </c>
      <c r="G41" s="9" t="s">
        <v>354</v>
      </c>
      <c r="H41" s="9" t="s">
        <v>159</v>
      </c>
      <c r="I41" s="9" t="s">
        <v>440</v>
      </c>
      <c r="J41" s="9" t="s">
        <v>149</v>
      </c>
      <c r="K41" s="9" t="s">
        <v>450</v>
      </c>
    </row>
    <row r="42" ht="15.75" customHeight="1">
      <c r="A42" s="9" t="s">
        <v>521</v>
      </c>
      <c r="B42" s="9" t="s">
        <v>369</v>
      </c>
      <c r="C42" s="9" t="s">
        <v>522</v>
      </c>
      <c r="D42" s="9" t="s">
        <v>523</v>
      </c>
      <c r="E42" s="9" t="s">
        <v>369</v>
      </c>
      <c r="F42" s="9" t="s">
        <v>259</v>
      </c>
      <c r="G42" s="9" t="s">
        <v>260</v>
      </c>
      <c r="H42" s="9" t="s">
        <v>153</v>
      </c>
      <c r="I42" s="9" t="s">
        <v>397</v>
      </c>
      <c r="J42" s="9" t="s">
        <v>149</v>
      </c>
      <c r="K42" s="9" t="s">
        <v>375</v>
      </c>
    </row>
    <row r="43" ht="15.75" customHeight="1">
      <c r="A43" s="9" t="s">
        <v>524</v>
      </c>
      <c r="B43" s="9" t="s">
        <v>369</v>
      </c>
      <c r="C43" s="9" t="s">
        <v>525</v>
      </c>
      <c r="D43" s="9" t="s">
        <v>526</v>
      </c>
      <c r="E43" s="9" t="s">
        <v>369</v>
      </c>
      <c r="F43" s="9" t="s">
        <v>259</v>
      </c>
      <c r="G43" s="9" t="s">
        <v>260</v>
      </c>
      <c r="H43" s="9" t="s">
        <v>153</v>
      </c>
      <c r="I43" s="9" t="s">
        <v>397</v>
      </c>
      <c r="J43" s="9" t="s">
        <v>149</v>
      </c>
      <c r="K43" s="9" t="s">
        <v>378</v>
      </c>
    </row>
    <row r="44" ht="15.75" customHeight="1">
      <c r="A44" s="9" t="s">
        <v>527</v>
      </c>
      <c r="B44" s="9" t="s">
        <v>369</v>
      </c>
      <c r="C44" s="9" t="s">
        <v>528</v>
      </c>
      <c r="D44" s="9" t="s">
        <v>529</v>
      </c>
      <c r="E44" s="9" t="s">
        <v>369</v>
      </c>
      <c r="F44" s="9" t="s">
        <v>305</v>
      </c>
      <c r="G44" s="9" t="s">
        <v>260</v>
      </c>
      <c r="H44" s="9" t="s">
        <v>153</v>
      </c>
      <c r="I44" s="9" t="s">
        <v>427</v>
      </c>
      <c r="J44" s="9" t="s">
        <v>149</v>
      </c>
      <c r="K44" s="9" t="s">
        <v>381</v>
      </c>
    </row>
    <row r="45" ht="15.75" customHeight="1">
      <c r="A45" s="9" t="s">
        <v>530</v>
      </c>
      <c r="B45" s="9" t="s">
        <v>531</v>
      </c>
      <c r="C45" s="9" t="s">
        <v>532</v>
      </c>
      <c r="D45" s="9" t="s">
        <v>533</v>
      </c>
      <c r="E45" s="9" t="s">
        <v>450</v>
      </c>
      <c r="F45" s="9" t="s">
        <v>259</v>
      </c>
      <c r="G45" s="9" t="s">
        <v>260</v>
      </c>
      <c r="H45" s="9" t="s">
        <v>162</v>
      </c>
      <c r="I45" s="9" t="s">
        <v>397</v>
      </c>
      <c r="J45" s="9" t="s">
        <v>149</v>
      </c>
      <c r="K45" s="9" t="s">
        <v>367</v>
      </c>
    </row>
    <row r="46" ht="15.75" customHeight="1">
      <c r="A46" s="9" t="s">
        <v>534</v>
      </c>
      <c r="B46" s="9" t="s">
        <v>531</v>
      </c>
      <c r="C46" s="9" t="s">
        <v>535</v>
      </c>
      <c r="D46" s="9" t="s">
        <v>536</v>
      </c>
      <c r="E46" s="9" t="s">
        <v>450</v>
      </c>
      <c r="F46" s="9" t="s">
        <v>259</v>
      </c>
      <c r="G46" s="9" t="s">
        <v>260</v>
      </c>
      <c r="H46" s="9" t="s">
        <v>162</v>
      </c>
      <c r="I46" s="9" t="s">
        <v>397</v>
      </c>
      <c r="J46" s="9" t="s">
        <v>149</v>
      </c>
      <c r="K46" s="9" t="s">
        <v>367</v>
      </c>
    </row>
    <row r="47" ht="15.75" customHeight="1">
      <c r="A47" s="9" t="s">
        <v>537</v>
      </c>
      <c r="B47" s="9" t="s">
        <v>531</v>
      </c>
      <c r="C47" s="9" t="s">
        <v>538</v>
      </c>
      <c r="D47" s="9" t="s">
        <v>539</v>
      </c>
      <c r="E47" s="9" t="s">
        <v>450</v>
      </c>
      <c r="F47" s="9" t="s">
        <v>259</v>
      </c>
      <c r="G47" s="9" t="s">
        <v>260</v>
      </c>
      <c r="H47" s="9" t="s">
        <v>155</v>
      </c>
      <c r="I47" s="9" t="s">
        <v>397</v>
      </c>
      <c r="J47" s="9" t="s">
        <v>149</v>
      </c>
      <c r="K47" s="9" t="s">
        <v>450</v>
      </c>
    </row>
    <row r="48" ht="15.75" customHeight="1">
      <c r="A48" s="9" t="s">
        <v>540</v>
      </c>
      <c r="B48" s="9" t="s">
        <v>531</v>
      </c>
      <c r="C48" s="9" t="s">
        <v>541</v>
      </c>
      <c r="D48" s="9" t="s">
        <v>542</v>
      </c>
      <c r="E48" s="9" t="s">
        <v>450</v>
      </c>
      <c r="F48" s="9" t="s">
        <v>259</v>
      </c>
      <c r="G48" s="9" t="s">
        <v>260</v>
      </c>
      <c r="H48" s="9" t="s">
        <v>155</v>
      </c>
      <c r="I48" s="9" t="s">
        <v>397</v>
      </c>
      <c r="J48" s="9" t="s">
        <v>149</v>
      </c>
      <c r="K48" s="9" t="s">
        <v>450</v>
      </c>
    </row>
    <row r="49" ht="15.75" customHeight="1">
      <c r="A49" s="9" t="s">
        <v>543</v>
      </c>
      <c r="B49" s="9" t="s">
        <v>531</v>
      </c>
      <c r="C49" s="9" t="s">
        <v>544</v>
      </c>
      <c r="D49" s="9" t="s">
        <v>545</v>
      </c>
      <c r="E49" s="9" t="s">
        <v>450</v>
      </c>
      <c r="F49" s="9" t="s">
        <v>305</v>
      </c>
      <c r="G49" s="9" t="s">
        <v>260</v>
      </c>
      <c r="H49" s="9" t="s">
        <v>155</v>
      </c>
      <c r="I49" s="9" t="s">
        <v>427</v>
      </c>
      <c r="J49" s="9" t="s">
        <v>149</v>
      </c>
      <c r="K49" s="9" t="s">
        <v>450</v>
      </c>
    </row>
    <row r="50" ht="15.75" customHeight="1">
      <c r="A50" s="9" t="s">
        <v>546</v>
      </c>
      <c r="B50" s="9" t="s">
        <v>531</v>
      </c>
      <c r="C50" s="9" t="s">
        <v>547</v>
      </c>
      <c r="D50" s="9" t="s">
        <v>548</v>
      </c>
      <c r="E50" s="9" t="s">
        <v>450</v>
      </c>
      <c r="F50" s="9" t="s">
        <v>305</v>
      </c>
      <c r="G50" s="9" t="s">
        <v>260</v>
      </c>
      <c r="H50" s="9" t="s">
        <v>183</v>
      </c>
      <c r="I50" s="9" t="s">
        <v>397</v>
      </c>
      <c r="J50" s="9" t="s">
        <v>149</v>
      </c>
      <c r="K50" s="9" t="s">
        <v>450</v>
      </c>
    </row>
    <row r="51" ht="15.75" customHeight="1">
      <c r="A51" s="9" t="s">
        <v>549</v>
      </c>
      <c r="B51" s="9" t="s">
        <v>531</v>
      </c>
      <c r="C51" s="9" t="s">
        <v>550</v>
      </c>
      <c r="D51" s="9" t="s">
        <v>551</v>
      </c>
      <c r="E51" s="9" t="s">
        <v>450</v>
      </c>
      <c r="F51" s="9" t="s">
        <v>259</v>
      </c>
      <c r="G51" s="9" t="s">
        <v>260</v>
      </c>
      <c r="H51" s="9" t="s">
        <v>188</v>
      </c>
      <c r="I51" s="9" t="s">
        <v>397</v>
      </c>
      <c r="J51" s="9" t="s">
        <v>149</v>
      </c>
      <c r="K51" s="9" t="s">
        <v>450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K2"/>
  </mergeCells>
  <conditionalFormatting sqref="J5:J51">
    <cfRule type="cellIs" dxfId="0" priority="1" operator="equal">
      <formula>"Done"</formula>
    </cfRule>
  </conditionalFormatting>
  <conditionalFormatting sqref="J5:J51">
    <cfRule type="cellIs" dxfId="1" priority="2" operator="equal">
      <formula>"In Progress"</formula>
    </cfRule>
  </conditionalFormatting>
  <conditionalFormatting sqref="J5:J51">
    <cfRule type="cellIs" dxfId="2" priority="3" operator="equal">
      <formula>"Blocked"</formula>
    </cfRule>
  </conditionalFormatting>
  <conditionalFormatting sqref="J5:J51">
    <cfRule type="cellIs" dxfId="3" priority="4" operator="equal">
      <formula>"Not Started"</formula>
    </cfRule>
  </conditionalFormatting>
  <conditionalFormatting sqref="J5:J51">
    <cfRule type="cellIs" dxfId="4" priority="5" operator="equal">
      <formula>"In Review"</formula>
    </cfRule>
  </conditionalFormatting>
  <conditionalFormatting sqref="J5:J51">
    <cfRule type="cellIs" dxfId="0" priority="6" operator="equal">
      <formula>"Fixed"</formula>
    </cfRule>
  </conditionalFormatting>
  <conditionalFormatting sqref="J5:J51">
    <cfRule type="cellIs" dxfId="5" priority="7" operator="equal">
      <formula>"Verified"</formula>
    </cfRule>
  </conditionalFormatting>
  <conditionalFormatting sqref="J5:J51">
    <cfRule type="cellIs" dxfId="6" priority="8" operator="equal">
      <formula>"Won't Fix"</formula>
    </cfRule>
  </conditionalFormatting>
  <conditionalFormatting sqref="J5:J51">
    <cfRule type="cellIs" dxfId="7" priority="9" operator="equal">
      <formula>"New"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8.75"/>
    <col customWidth="1" min="2" max="2" width="9.63"/>
    <col customWidth="1" min="3" max="3" width="10.63"/>
    <col customWidth="1" min="4" max="4" width="33.25"/>
    <col customWidth="1" min="5" max="5" width="30.63"/>
    <col customWidth="1" min="6" max="6" width="12.25"/>
    <col customWidth="1" min="7" max="7" width="8.75"/>
    <col customWidth="1" min="8" max="8" width="43.75"/>
    <col customWidth="1" min="9" max="9" width="7.0"/>
    <col customWidth="1" min="10" max="10" width="7.88"/>
    <col customWidth="1" min="11" max="11" width="12.25"/>
    <col customWidth="1" min="12" max="26" width="7.63"/>
  </cols>
  <sheetData>
    <row r="1" ht="15.0" customHeight="1">
      <c r="A1" s="1" t="s">
        <v>552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4">
      <c r="A4" s="8" t="s">
        <v>108</v>
      </c>
      <c r="B4" s="8" t="s">
        <v>553</v>
      </c>
      <c r="C4" s="8" t="s">
        <v>554</v>
      </c>
      <c r="D4" s="8" t="s">
        <v>555</v>
      </c>
      <c r="E4" s="39" t="s">
        <v>244</v>
      </c>
      <c r="F4" s="8" t="s">
        <v>265</v>
      </c>
      <c r="G4" s="8" t="s">
        <v>556</v>
      </c>
      <c r="H4" s="8" t="s">
        <v>557</v>
      </c>
      <c r="I4" s="8" t="s">
        <v>558</v>
      </c>
      <c r="J4" s="8" t="s">
        <v>143</v>
      </c>
      <c r="K4" s="8" t="s">
        <v>144</v>
      </c>
    </row>
    <row r="5">
      <c r="A5" s="9" t="s">
        <v>559</v>
      </c>
      <c r="B5" s="9" t="s">
        <v>265</v>
      </c>
      <c r="C5" s="9" t="s">
        <v>560</v>
      </c>
      <c r="D5" s="9" t="s">
        <v>561</v>
      </c>
      <c r="E5" s="9" t="s">
        <v>562</v>
      </c>
      <c r="F5" s="9" t="s">
        <v>563</v>
      </c>
      <c r="G5" s="9" t="s">
        <v>258</v>
      </c>
      <c r="H5" s="9" t="s">
        <v>564</v>
      </c>
      <c r="I5" s="9" t="s">
        <v>565</v>
      </c>
      <c r="J5" s="9" t="s">
        <v>155</v>
      </c>
      <c r="K5" s="9" t="s">
        <v>149</v>
      </c>
    </row>
    <row r="6">
      <c r="A6" s="9" t="s">
        <v>566</v>
      </c>
      <c r="B6" s="9" t="s">
        <v>265</v>
      </c>
      <c r="C6" s="9" t="s">
        <v>560</v>
      </c>
      <c r="D6" s="9" t="s">
        <v>567</v>
      </c>
      <c r="E6" s="9" t="s">
        <v>568</v>
      </c>
      <c r="F6" s="9" t="s">
        <v>563</v>
      </c>
      <c r="G6" s="9" t="s">
        <v>258</v>
      </c>
      <c r="H6" s="9" t="s">
        <v>569</v>
      </c>
      <c r="I6" s="9" t="s">
        <v>565</v>
      </c>
      <c r="J6" s="9" t="s">
        <v>155</v>
      </c>
      <c r="K6" s="9" t="s">
        <v>149</v>
      </c>
    </row>
    <row r="7">
      <c r="A7" s="9" t="s">
        <v>570</v>
      </c>
      <c r="B7" s="9" t="s">
        <v>265</v>
      </c>
      <c r="C7" s="9" t="s">
        <v>560</v>
      </c>
      <c r="D7" s="9" t="s">
        <v>571</v>
      </c>
      <c r="E7" s="9" t="s">
        <v>572</v>
      </c>
      <c r="F7" s="9" t="s">
        <v>563</v>
      </c>
      <c r="G7" s="9" t="s">
        <v>258</v>
      </c>
      <c r="H7" s="9" t="s">
        <v>573</v>
      </c>
      <c r="I7" s="9" t="s">
        <v>565</v>
      </c>
      <c r="J7" s="9" t="s">
        <v>155</v>
      </c>
      <c r="K7" s="9" t="s">
        <v>149</v>
      </c>
    </row>
    <row r="8">
      <c r="A8" s="9" t="s">
        <v>574</v>
      </c>
      <c r="B8" s="9" t="s">
        <v>265</v>
      </c>
      <c r="C8" s="9" t="s">
        <v>560</v>
      </c>
      <c r="D8" s="9" t="s">
        <v>575</v>
      </c>
      <c r="E8" s="9" t="s">
        <v>576</v>
      </c>
      <c r="F8" s="9" t="s">
        <v>577</v>
      </c>
      <c r="G8" s="9" t="s">
        <v>284</v>
      </c>
      <c r="H8" s="9" t="s">
        <v>578</v>
      </c>
      <c r="I8" s="9" t="s">
        <v>565</v>
      </c>
      <c r="J8" s="9" t="s">
        <v>155</v>
      </c>
      <c r="K8" s="9" t="s">
        <v>149</v>
      </c>
    </row>
    <row r="9">
      <c r="A9" s="9" t="s">
        <v>579</v>
      </c>
      <c r="B9" s="9" t="s">
        <v>265</v>
      </c>
      <c r="C9" s="9" t="s">
        <v>560</v>
      </c>
      <c r="D9" s="9" t="s">
        <v>580</v>
      </c>
      <c r="E9" s="9" t="s">
        <v>581</v>
      </c>
      <c r="F9" s="9" t="s">
        <v>582</v>
      </c>
      <c r="G9" s="9" t="s">
        <v>284</v>
      </c>
      <c r="H9" s="9" t="s">
        <v>583</v>
      </c>
      <c r="I9" s="9" t="s">
        <v>565</v>
      </c>
      <c r="J9" s="9" t="s">
        <v>155</v>
      </c>
      <c r="K9" s="9" t="s">
        <v>149</v>
      </c>
    </row>
    <row r="10">
      <c r="A10" s="9" t="s">
        <v>584</v>
      </c>
      <c r="B10" s="9" t="s">
        <v>265</v>
      </c>
      <c r="C10" s="9" t="s">
        <v>560</v>
      </c>
      <c r="D10" s="9" t="s">
        <v>585</v>
      </c>
      <c r="E10" s="9" t="s">
        <v>586</v>
      </c>
      <c r="F10" s="9" t="s">
        <v>563</v>
      </c>
      <c r="G10" s="9" t="s">
        <v>258</v>
      </c>
      <c r="H10" s="9" t="s">
        <v>587</v>
      </c>
      <c r="I10" s="9" t="s">
        <v>565</v>
      </c>
      <c r="J10" s="9" t="s">
        <v>155</v>
      </c>
      <c r="K10" s="9" t="s">
        <v>149</v>
      </c>
    </row>
    <row r="11">
      <c r="A11" s="9" t="s">
        <v>588</v>
      </c>
      <c r="B11" s="9" t="s">
        <v>265</v>
      </c>
      <c r="C11" s="9" t="s">
        <v>560</v>
      </c>
      <c r="D11" s="9" t="s">
        <v>589</v>
      </c>
      <c r="E11" s="9" t="s">
        <v>590</v>
      </c>
      <c r="F11" s="9" t="s">
        <v>563</v>
      </c>
      <c r="G11" s="9" t="s">
        <v>258</v>
      </c>
      <c r="H11" s="9" t="s">
        <v>591</v>
      </c>
      <c r="I11" s="9" t="s">
        <v>565</v>
      </c>
      <c r="J11" s="9" t="s">
        <v>155</v>
      </c>
      <c r="K11" s="9" t="s">
        <v>149</v>
      </c>
    </row>
    <row r="12">
      <c r="A12" s="9" t="s">
        <v>592</v>
      </c>
      <c r="B12" s="9" t="s">
        <v>265</v>
      </c>
      <c r="C12" s="9" t="s">
        <v>593</v>
      </c>
      <c r="D12" s="9" t="s">
        <v>594</v>
      </c>
      <c r="E12" s="9" t="s">
        <v>595</v>
      </c>
      <c r="F12" s="9" t="s">
        <v>582</v>
      </c>
      <c r="G12" s="9" t="s">
        <v>284</v>
      </c>
      <c r="H12" s="9" t="s">
        <v>596</v>
      </c>
      <c r="I12" s="9" t="s">
        <v>565</v>
      </c>
      <c r="J12" s="9" t="s">
        <v>155</v>
      </c>
      <c r="K12" s="9" t="s">
        <v>149</v>
      </c>
    </row>
    <row r="13">
      <c r="A13" s="9" t="s">
        <v>597</v>
      </c>
      <c r="B13" s="9" t="s">
        <v>284</v>
      </c>
      <c r="C13" s="9" t="s">
        <v>593</v>
      </c>
      <c r="D13" s="9" t="s">
        <v>598</v>
      </c>
      <c r="E13" s="9" t="s">
        <v>599</v>
      </c>
      <c r="F13" s="9" t="s">
        <v>582</v>
      </c>
      <c r="G13" s="9" t="s">
        <v>284</v>
      </c>
      <c r="H13" s="9" t="s">
        <v>600</v>
      </c>
      <c r="I13" s="9" t="s">
        <v>601</v>
      </c>
      <c r="J13" s="9" t="s">
        <v>155</v>
      </c>
      <c r="K13" s="9" t="s">
        <v>149</v>
      </c>
    </row>
    <row r="14">
      <c r="A14" s="9" t="s">
        <v>602</v>
      </c>
      <c r="B14" s="9" t="s">
        <v>284</v>
      </c>
      <c r="C14" s="9" t="s">
        <v>603</v>
      </c>
      <c r="D14" s="9" t="s">
        <v>598</v>
      </c>
      <c r="E14" s="9" t="s">
        <v>604</v>
      </c>
      <c r="F14" s="9" t="s">
        <v>582</v>
      </c>
      <c r="G14" s="9" t="s">
        <v>284</v>
      </c>
      <c r="H14" s="9" t="s">
        <v>605</v>
      </c>
      <c r="I14" s="9" t="s">
        <v>601</v>
      </c>
      <c r="J14" s="9" t="s">
        <v>155</v>
      </c>
      <c r="K14" s="9" t="s">
        <v>149</v>
      </c>
    </row>
    <row r="15">
      <c r="A15" s="9" t="s">
        <v>606</v>
      </c>
      <c r="B15" s="9" t="s">
        <v>284</v>
      </c>
      <c r="C15" s="9" t="s">
        <v>603</v>
      </c>
      <c r="D15" s="9" t="s">
        <v>607</v>
      </c>
      <c r="E15" s="9" t="s">
        <v>608</v>
      </c>
      <c r="F15" s="9" t="s">
        <v>582</v>
      </c>
      <c r="G15" s="9" t="s">
        <v>284</v>
      </c>
      <c r="H15" s="9" t="s">
        <v>609</v>
      </c>
      <c r="I15" s="9" t="s">
        <v>601</v>
      </c>
      <c r="J15" s="9" t="s">
        <v>155</v>
      </c>
      <c r="K15" s="9" t="s">
        <v>149</v>
      </c>
    </row>
    <row r="16">
      <c r="A16" s="9" t="s">
        <v>610</v>
      </c>
      <c r="B16" s="9" t="s">
        <v>611</v>
      </c>
      <c r="C16" s="9" t="s">
        <v>593</v>
      </c>
      <c r="D16" s="9" t="s">
        <v>612</v>
      </c>
      <c r="E16" s="9" t="s">
        <v>613</v>
      </c>
      <c r="F16" s="9" t="s">
        <v>614</v>
      </c>
      <c r="G16" s="9" t="s">
        <v>367</v>
      </c>
      <c r="H16" s="9" t="s">
        <v>615</v>
      </c>
      <c r="I16" s="9" t="s">
        <v>565</v>
      </c>
      <c r="J16" s="9" t="s">
        <v>155</v>
      </c>
      <c r="K16" s="9" t="s">
        <v>149</v>
      </c>
    </row>
    <row r="17">
      <c r="A17" s="9" t="s">
        <v>616</v>
      </c>
      <c r="B17" s="9" t="s">
        <v>611</v>
      </c>
      <c r="C17" s="9" t="s">
        <v>593</v>
      </c>
      <c r="D17" s="9" t="s">
        <v>617</v>
      </c>
      <c r="E17" s="9" t="s">
        <v>618</v>
      </c>
      <c r="F17" s="9" t="s">
        <v>614</v>
      </c>
      <c r="G17" s="9" t="s">
        <v>367</v>
      </c>
      <c r="H17" s="9" t="s">
        <v>619</v>
      </c>
      <c r="I17" s="9" t="s">
        <v>565</v>
      </c>
      <c r="J17" s="9" t="s">
        <v>155</v>
      </c>
      <c r="K17" s="9" t="s">
        <v>149</v>
      </c>
    </row>
    <row r="18">
      <c r="A18" s="9" t="s">
        <v>620</v>
      </c>
      <c r="B18" s="9" t="s">
        <v>611</v>
      </c>
      <c r="C18" s="9" t="s">
        <v>593</v>
      </c>
      <c r="D18" s="9" t="s">
        <v>621</v>
      </c>
      <c r="E18" s="9" t="s">
        <v>622</v>
      </c>
      <c r="F18" s="9" t="s">
        <v>614</v>
      </c>
      <c r="G18" s="9" t="s">
        <v>367</v>
      </c>
      <c r="H18" s="9" t="s">
        <v>623</v>
      </c>
      <c r="I18" s="9" t="s">
        <v>565</v>
      </c>
      <c r="J18" s="9" t="s">
        <v>155</v>
      </c>
      <c r="K18" s="9" t="s">
        <v>149</v>
      </c>
    </row>
    <row r="19">
      <c r="A19" s="9" t="s">
        <v>624</v>
      </c>
      <c r="B19" s="9" t="s">
        <v>611</v>
      </c>
      <c r="C19" s="9" t="s">
        <v>593</v>
      </c>
      <c r="D19" s="9" t="s">
        <v>625</v>
      </c>
      <c r="E19" s="9" t="s">
        <v>626</v>
      </c>
      <c r="F19" s="9" t="s">
        <v>563</v>
      </c>
      <c r="G19" s="9" t="s">
        <v>367</v>
      </c>
      <c r="H19" s="9" t="s">
        <v>627</v>
      </c>
      <c r="I19" s="9" t="s">
        <v>565</v>
      </c>
      <c r="J19" s="9" t="s">
        <v>155</v>
      </c>
      <c r="K19" s="9" t="s">
        <v>149</v>
      </c>
    </row>
    <row r="20">
      <c r="A20" s="9" t="s">
        <v>628</v>
      </c>
      <c r="B20" s="9" t="s">
        <v>286</v>
      </c>
      <c r="C20" s="9" t="s">
        <v>560</v>
      </c>
      <c r="D20" s="9" t="s">
        <v>629</v>
      </c>
      <c r="E20" s="9" t="s">
        <v>630</v>
      </c>
      <c r="F20" s="9" t="s">
        <v>582</v>
      </c>
      <c r="G20" s="9" t="s">
        <v>284</v>
      </c>
      <c r="H20" s="9" t="s">
        <v>631</v>
      </c>
      <c r="I20" s="9" t="s">
        <v>632</v>
      </c>
      <c r="J20" s="9" t="s">
        <v>155</v>
      </c>
      <c r="K20" s="9" t="s">
        <v>149</v>
      </c>
    </row>
    <row r="21" ht="15.75" customHeight="1">
      <c r="A21" s="9" t="s">
        <v>633</v>
      </c>
      <c r="B21" s="9" t="s">
        <v>286</v>
      </c>
      <c r="C21" s="9" t="s">
        <v>593</v>
      </c>
      <c r="D21" s="9" t="s">
        <v>634</v>
      </c>
      <c r="E21" s="9" t="s">
        <v>635</v>
      </c>
      <c r="F21" s="9" t="s">
        <v>582</v>
      </c>
      <c r="G21" s="9" t="s">
        <v>284</v>
      </c>
      <c r="H21" s="9" t="s">
        <v>636</v>
      </c>
      <c r="I21" s="9" t="s">
        <v>601</v>
      </c>
      <c r="J21" s="9" t="s">
        <v>155</v>
      </c>
      <c r="K21" s="9" t="s">
        <v>149</v>
      </c>
    </row>
    <row r="22" ht="15.75" customHeight="1">
      <c r="A22" s="9" t="s">
        <v>637</v>
      </c>
      <c r="B22" s="9" t="s">
        <v>286</v>
      </c>
      <c r="C22" s="9" t="s">
        <v>593</v>
      </c>
      <c r="D22" s="9" t="s">
        <v>638</v>
      </c>
      <c r="E22" s="9" t="s">
        <v>639</v>
      </c>
      <c r="F22" s="9" t="s">
        <v>582</v>
      </c>
      <c r="G22" s="9" t="s">
        <v>284</v>
      </c>
      <c r="H22" s="9" t="s">
        <v>640</v>
      </c>
      <c r="I22" s="9" t="s">
        <v>601</v>
      </c>
      <c r="J22" s="9" t="s">
        <v>155</v>
      </c>
      <c r="K22" s="9" t="s">
        <v>149</v>
      </c>
    </row>
    <row r="23" ht="15.75" customHeight="1">
      <c r="A23" s="9" t="s">
        <v>641</v>
      </c>
      <c r="B23" s="9" t="s">
        <v>437</v>
      </c>
      <c r="C23" s="9" t="s">
        <v>560</v>
      </c>
      <c r="D23" s="9" t="s">
        <v>642</v>
      </c>
      <c r="E23" s="9" t="s">
        <v>643</v>
      </c>
      <c r="F23" s="9" t="s">
        <v>582</v>
      </c>
      <c r="G23" s="9" t="s">
        <v>284</v>
      </c>
      <c r="H23" s="9" t="s">
        <v>644</v>
      </c>
      <c r="I23" s="9" t="s">
        <v>632</v>
      </c>
      <c r="J23" s="9" t="s">
        <v>155</v>
      </c>
      <c r="K23" s="9" t="s">
        <v>149</v>
      </c>
    </row>
    <row r="24" ht="15.75" customHeight="1">
      <c r="A24" s="9" t="s">
        <v>645</v>
      </c>
      <c r="B24" s="9" t="s">
        <v>437</v>
      </c>
      <c r="C24" s="9" t="s">
        <v>593</v>
      </c>
      <c r="D24" s="9" t="s">
        <v>646</v>
      </c>
      <c r="E24" s="9" t="s">
        <v>647</v>
      </c>
      <c r="F24" s="9" t="s">
        <v>582</v>
      </c>
      <c r="G24" s="9" t="s">
        <v>284</v>
      </c>
      <c r="H24" s="9" t="s">
        <v>648</v>
      </c>
      <c r="I24" s="9" t="s">
        <v>632</v>
      </c>
      <c r="J24" s="9" t="s">
        <v>155</v>
      </c>
      <c r="K24" s="9" t="s">
        <v>149</v>
      </c>
    </row>
    <row r="25" ht="15.75" customHeight="1">
      <c r="A25" s="9" t="s">
        <v>649</v>
      </c>
      <c r="B25" s="9" t="s">
        <v>437</v>
      </c>
      <c r="C25" s="9" t="s">
        <v>650</v>
      </c>
      <c r="D25" s="9" t="s">
        <v>651</v>
      </c>
      <c r="E25" s="9" t="s">
        <v>652</v>
      </c>
      <c r="F25" s="9" t="s">
        <v>582</v>
      </c>
      <c r="G25" s="9" t="s">
        <v>284</v>
      </c>
      <c r="H25" s="9" t="s">
        <v>653</v>
      </c>
      <c r="I25" s="9" t="s">
        <v>632</v>
      </c>
      <c r="J25" s="9" t="s">
        <v>155</v>
      </c>
      <c r="K25" s="9" t="s">
        <v>149</v>
      </c>
    </row>
    <row r="26" ht="15.75" customHeight="1">
      <c r="A26" s="9" t="s">
        <v>654</v>
      </c>
      <c r="B26" s="9" t="s">
        <v>452</v>
      </c>
      <c r="C26" s="9" t="s">
        <v>593</v>
      </c>
      <c r="D26" s="9" t="s">
        <v>655</v>
      </c>
      <c r="E26" s="9" t="s">
        <v>656</v>
      </c>
      <c r="F26" s="9" t="s">
        <v>582</v>
      </c>
      <c r="G26" s="9" t="s">
        <v>284</v>
      </c>
      <c r="H26" s="9" t="s">
        <v>657</v>
      </c>
      <c r="I26" s="9" t="s">
        <v>601</v>
      </c>
      <c r="J26" s="9" t="s">
        <v>155</v>
      </c>
      <c r="K26" s="9" t="s">
        <v>149</v>
      </c>
    </row>
    <row r="27" ht="15.75" customHeight="1">
      <c r="A27" s="9" t="s">
        <v>658</v>
      </c>
      <c r="B27" s="9" t="s">
        <v>452</v>
      </c>
      <c r="C27" s="9" t="s">
        <v>593</v>
      </c>
      <c r="D27" s="9" t="s">
        <v>659</v>
      </c>
      <c r="E27" s="9" t="s">
        <v>343</v>
      </c>
      <c r="F27" s="9" t="s">
        <v>582</v>
      </c>
      <c r="G27" s="9" t="s">
        <v>284</v>
      </c>
      <c r="H27" s="9" t="s">
        <v>623</v>
      </c>
      <c r="I27" s="9" t="s">
        <v>601</v>
      </c>
      <c r="J27" s="9" t="s">
        <v>155</v>
      </c>
      <c r="K27" s="9" t="s">
        <v>149</v>
      </c>
    </row>
    <row r="28" ht="15.75" customHeight="1">
      <c r="A28" s="9" t="s">
        <v>660</v>
      </c>
      <c r="B28" s="9" t="s">
        <v>452</v>
      </c>
      <c r="C28" s="9" t="s">
        <v>593</v>
      </c>
      <c r="D28" s="9" t="s">
        <v>661</v>
      </c>
      <c r="E28" s="9" t="s">
        <v>462</v>
      </c>
      <c r="F28" s="9" t="s">
        <v>582</v>
      </c>
      <c r="G28" s="9" t="s">
        <v>347</v>
      </c>
      <c r="H28" s="9" t="s">
        <v>662</v>
      </c>
      <c r="I28" s="9" t="s">
        <v>601</v>
      </c>
      <c r="J28" s="9" t="s">
        <v>155</v>
      </c>
      <c r="K28" s="9" t="s">
        <v>149</v>
      </c>
    </row>
    <row r="29" ht="15.75" customHeight="1">
      <c r="A29" s="9" t="s">
        <v>663</v>
      </c>
      <c r="B29" s="9" t="s">
        <v>664</v>
      </c>
      <c r="C29" s="9" t="s">
        <v>593</v>
      </c>
      <c r="D29" s="9" t="s">
        <v>665</v>
      </c>
      <c r="E29" s="9" t="s">
        <v>666</v>
      </c>
      <c r="F29" s="9" t="s">
        <v>582</v>
      </c>
      <c r="G29" s="9" t="s">
        <v>284</v>
      </c>
      <c r="H29" s="9" t="s">
        <v>667</v>
      </c>
      <c r="I29" s="9" t="s">
        <v>601</v>
      </c>
      <c r="J29" s="9" t="s">
        <v>155</v>
      </c>
      <c r="K29" s="9" t="s">
        <v>149</v>
      </c>
    </row>
    <row r="30" ht="15.75" customHeight="1">
      <c r="A30" s="9" t="s">
        <v>668</v>
      </c>
      <c r="B30" s="9" t="s">
        <v>664</v>
      </c>
      <c r="C30" s="9" t="s">
        <v>560</v>
      </c>
      <c r="D30" s="9" t="s">
        <v>665</v>
      </c>
      <c r="E30" s="9" t="s">
        <v>669</v>
      </c>
      <c r="F30" s="9" t="s">
        <v>582</v>
      </c>
      <c r="G30" s="9" t="s">
        <v>284</v>
      </c>
      <c r="H30" s="9" t="s">
        <v>670</v>
      </c>
      <c r="I30" s="9" t="s">
        <v>601</v>
      </c>
      <c r="J30" s="9" t="s">
        <v>155</v>
      </c>
      <c r="K30" s="9" t="s">
        <v>149</v>
      </c>
    </row>
    <row r="31" ht="15.75" customHeight="1">
      <c r="A31" s="9" t="s">
        <v>671</v>
      </c>
      <c r="B31" s="9" t="s">
        <v>664</v>
      </c>
      <c r="C31" s="9" t="s">
        <v>603</v>
      </c>
      <c r="D31" s="9" t="s">
        <v>672</v>
      </c>
      <c r="E31" s="9" t="s">
        <v>673</v>
      </c>
      <c r="F31" s="9" t="s">
        <v>582</v>
      </c>
      <c r="G31" s="9" t="s">
        <v>284</v>
      </c>
      <c r="H31" s="9" t="s">
        <v>674</v>
      </c>
      <c r="I31" s="9" t="s">
        <v>601</v>
      </c>
      <c r="J31" s="9" t="s">
        <v>155</v>
      </c>
      <c r="K31" s="9" t="s">
        <v>149</v>
      </c>
    </row>
    <row r="32" ht="15.75" customHeight="1">
      <c r="A32" s="9" t="s">
        <v>675</v>
      </c>
      <c r="B32" s="9" t="s">
        <v>664</v>
      </c>
      <c r="C32" s="9" t="s">
        <v>676</v>
      </c>
      <c r="D32" s="9" t="s">
        <v>672</v>
      </c>
      <c r="E32" s="9" t="s">
        <v>677</v>
      </c>
      <c r="F32" s="9" t="s">
        <v>582</v>
      </c>
      <c r="G32" s="9" t="s">
        <v>284</v>
      </c>
      <c r="H32" s="9" t="s">
        <v>583</v>
      </c>
      <c r="I32" s="9" t="s">
        <v>601</v>
      </c>
      <c r="J32" s="9" t="s">
        <v>155</v>
      </c>
      <c r="K32" s="9" t="s">
        <v>149</v>
      </c>
    </row>
    <row r="33" ht="15.75" customHeight="1">
      <c r="A33" s="9" t="s">
        <v>678</v>
      </c>
      <c r="B33" s="9" t="s">
        <v>325</v>
      </c>
      <c r="C33" s="9" t="s">
        <v>593</v>
      </c>
      <c r="D33" s="9" t="s">
        <v>679</v>
      </c>
      <c r="E33" s="9" t="s">
        <v>680</v>
      </c>
      <c r="F33" s="9" t="s">
        <v>614</v>
      </c>
      <c r="G33" s="9" t="s">
        <v>367</v>
      </c>
      <c r="H33" s="9" t="s">
        <v>681</v>
      </c>
      <c r="I33" s="9" t="s">
        <v>601</v>
      </c>
      <c r="J33" s="9" t="s">
        <v>155</v>
      </c>
      <c r="K33" s="9" t="s">
        <v>149</v>
      </c>
    </row>
    <row r="34" ht="15.75" customHeight="1">
      <c r="A34" s="9" t="s">
        <v>682</v>
      </c>
      <c r="B34" s="9" t="s">
        <v>683</v>
      </c>
      <c r="C34" s="9" t="s">
        <v>593</v>
      </c>
      <c r="D34" s="9" t="s">
        <v>684</v>
      </c>
      <c r="E34" s="9" t="s">
        <v>685</v>
      </c>
      <c r="F34" s="9" t="s">
        <v>582</v>
      </c>
      <c r="G34" s="9" t="s">
        <v>284</v>
      </c>
      <c r="H34" s="9" t="s">
        <v>686</v>
      </c>
      <c r="I34" s="9" t="s">
        <v>601</v>
      </c>
      <c r="J34" s="9" t="s">
        <v>155</v>
      </c>
      <c r="K34" s="9" t="s">
        <v>149</v>
      </c>
    </row>
    <row r="35" ht="15.75" customHeight="1">
      <c r="A35" s="9" t="s">
        <v>687</v>
      </c>
      <c r="B35" s="9" t="s">
        <v>347</v>
      </c>
      <c r="C35" s="9" t="s">
        <v>593</v>
      </c>
      <c r="D35" s="9" t="s">
        <v>688</v>
      </c>
      <c r="E35" s="9" t="s">
        <v>689</v>
      </c>
      <c r="F35" s="9" t="s">
        <v>582</v>
      </c>
      <c r="G35" s="9" t="s">
        <v>284</v>
      </c>
      <c r="H35" s="9" t="s">
        <v>690</v>
      </c>
      <c r="I35" s="9" t="s">
        <v>691</v>
      </c>
      <c r="J35" s="9" t="s">
        <v>155</v>
      </c>
      <c r="K35" s="9" t="s">
        <v>149</v>
      </c>
    </row>
    <row r="36" ht="15.75" customHeight="1">
      <c r="A36" s="9" t="s">
        <v>692</v>
      </c>
      <c r="B36" s="9" t="s">
        <v>347</v>
      </c>
      <c r="C36" s="9" t="s">
        <v>560</v>
      </c>
      <c r="D36" s="9" t="s">
        <v>693</v>
      </c>
      <c r="E36" s="9" t="s">
        <v>694</v>
      </c>
      <c r="F36" s="9" t="s">
        <v>582</v>
      </c>
      <c r="G36" s="9" t="s">
        <v>284</v>
      </c>
      <c r="H36" s="9" t="s">
        <v>695</v>
      </c>
      <c r="I36" s="9" t="s">
        <v>691</v>
      </c>
      <c r="J36" s="9" t="s">
        <v>155</v>
      </c>
      <c r="K36" s="9" t="s">
        <v>149</v>
      </c>
    </row>
    <row r="37" ht="15.75" customHeight="1">
      <c r="A37" s="9" t="s">
        <v>696</v>
      </c>
      <c r="B37" s="9" t="s">
        <v>347</v>
      </c>
      <c r="C37" s="9" t="s">
        <v>560</v>
      </c>
      <c r="D37" s="9" t="s">
        <v>697</v>
      </c>
      <c r="E37" s="9" t="s">
        <v>698</v>
      </c>
      <c r="F37" s="9" t="s">
        <v>582</v>
      </c>
      <c r="G37" s="9" t="s">
        <v>347</v>
      </c>
      <c r="H37" s="9" t="s">
        <v>699</v>
      </c>
      <c r="I37" s="9" t="s">
        <v>691</v>
      </c>
      <c r="J37" s="9" t="s">
        <v>155</v>
      </c>
      <c r="K37" s="9" t="s">
        <v>149</v>
      </c>
    </row>
    <row r="38" ht="15.75" customHeight="1">
      <c r="A38" s="9" t="s">
        <v>700</v>
      </c>
      <c r="B38" s="9" t="s">
        <v>701</v>
      </c>
      <c r="C38" s="9" t="s">
        <v>593</v>
      </c>
      <c r="D38" s="9" t="s">
        <v>702</v>
      </c>
      <c r="E38" s="9" t="s">
        <v>703</v>
      </c>
      <c r="F38" s="9" t="s">
        <v>582</v>
      </c>
      <c r="G38" s="9" t="s">
        <v>284</v>
      </c>
      <c r="H38" s="9" t="s">
        <v>704</v>
      </c>
      <c r="I38" s="9" t="s">
        <v>691</v>
      </c>
      <c r="J38" s="9" t="s">
        <v>155</v>
      </c>
      <c r="K38" s="9" t="s">
        <v>149</v>
      </c>
    </row>
    <row r="39" ht="15.75" customHeight="1">
      <c r="A39" s="9" t="s">
        <v>705</v>
      </c>
      <c r="B39" s="9" t="s">
        <v>701</v>
      </c>
      <c r="C39" s="9" t="s">
        <v>603</v>
      </c>
      <c r="D39" s="9" t="s">
        <v>706</v>
      </c>
      <c r="E39" s="9" t="s">
        <v>707</v>
      </c>
      <c r="F39" s="9" t="s">
        <v>582</v>
      </c>
      <c r="G39" s="9" t="s">
        <v>284</v>
      </c>
      <c r="H39" s="9" t="s">
        <v>583</v>
      </c>
      <c r="I39" s="9" t="s">
        <v>691</v>
      </c>
      <c r="J39" s="9" t="s">
        <v>155</v>
      </c>
      <c r="K39" s="9" t="s">
        <v>149</v>
      </c>
    </row>
    <row r="40" ht="15.75" customHeight="1">
      <c r="A40" s="9" t="s">
        <v>708</v>
      </c>
      <c r="B40" s="9" t="s">
        <v>369</v>
      </c>
      <c r="C40" s="9" t="s">
        <v>593</v>
      </c>
      <c r="D40" s="9" t="s">
        <v>709</v>
      </c>
      <c r="E40" s="9" t="s">
        <v>710</v>
      </c>
      <c r="F40" s="9" t="s">
        <v>582</v>
      </c>
      <c r="G40" s="9" t="s">
        <v>369</v>
      </c>
      <c r="H40" s="9" t="s">
        <v>711</v>
      </c>
      <c r="I40" s="9" t="s">
        <v>691</v>
      </c>
      <c r="J40" s="9" t="s">
        <v>155</v>
      </c>
      <c r="K40" s="9" t="s">
        <v>149</v>
      </c>
    </row>
    <row r="41" ht="15.75" customHeight="1">
      <c r="A41" s="9" t="s">
        <v>712</v>
      </c>
      <c r="B41" s="9" t="s">
        <v>369</v>
      </c>
      <c r="C41" s="9" t="s">
        <v>593</v>
      </c>
      <c r="D41" s="9" t="s">
        <v>713</v>
      </c>
      <c r="E41" s="9" t="s">
        <v>714</v>
      </c>
      <c r="F41" s="9" t="s">
        <v>582</v>
      </c>
      <c r="G41" s="9" t="s">
        <v>369</v>
      </c>
      <c r="H41" s="9" t="s">
        <v>715</v>
      </c>
      <c r="I41" s="9" t="s">
        <v>691</v>
      </c>
      <c r="J41" s="9" t="s">
        <v>155</v>
      </c>
      <c r="K41" s="9" t="s">
        <v>149</v>
      </c>
    </row>
    <row r="42" ht="15.75" customHeight="1">
      <c r="A42" s="9" t="s">
        <v>716</v>
      </c>
      <c r="B42" s="9" t="s">
        <v>369</v>
      </c>
      <c r="C42" s="9" t="s">
        <v>603</v>
      </c>
      <c r="D42" s="9" t="s">
        <v>717</v>
      </c>
      <c r="E42" s="9" t="s">
        <v>718</v>
      </c>
      <c r="F42" s="9" t="s">
        <v>582</v>
      </c>
      <c r="G42" s="9" t="s">
        <v>369</v>
      </c>
      <c r="H42" s="9" t="s">
        <v>719</v>
      </c>
      <c r="I42" s="9" t="s">
        <v>691</v>
      </c>
      <c r="J42" s="9" t="s">
        <v>155</v>
      </c>
      <c r="K42" s="9" t="s">
        <v>149</v>
      </c>
    </row>
    <row r="43" ht="15.75" customHeight="1">
      <c r="A43" s="9" t="s">
        <v>720</v>
      </c>
      <c r="B43" s="9" t="s">
        <v>369</v>
      </c>
      <c r="C43" s="9" t="s">
        <v>560</v>
      </c>
      <c r="D43" s="9" t="s">
        <v>721</v>
      </c>
      <c r="E43" s="9" t="s">
        <v>722</v>
      </c>
      <c r="F43" s="9" t="s">
        <v>582</v>
      </c>
      <c r="G43" s="9" t="s">
        <v>369</v>
      </c>
      <c r="H43" s="9" t="s">
        <v>723</v>
      </c>
      <c r="I43" s="9" t="s">
        <v>565</v>
      </c>
      <c r="J43" s="9" t="s">
        <v>155</v>
      </c>
      <c r="K43" s="9" t="s">
        <v>149</v>
      </c>
    </row>
    <row r="44" ht="15.75" customHeight="1">
      <c r="A44" s="9" t="s">
        <v>724</v>
      </c>
      <c r="B44" s="9" t="s">
        <v>369</v>
      </c>
      <c r="C44" s="9" t="s">
        <v>603</v>
      </c>
      <c r="D44" s="9" t="s">
        <v>725</v>
      </c>
      <c r="E44" s="9" t="s">
        <v>726</v>
      </c>
      <c r="F44" s="9" t="s">
        <v>582</v>
      </c>
      <c r="G44" s="9" t="s">
        <v>369</v>
      </c>
      <c r="H44" s="9" t="s">
        <v>727</v>
      </c>
      <c r="I44" s="9" t="s">
        <v>565</v>
      </c>
      <c r="J44" s="9" t="s">
        <v>155</v>
      </c>
      <c r="K44" s="9" t="s">
        <v>149</v>
      </c>
    </row>
    <row r="45" ht="15.75" customHeight="1">
      <c r="A45" s="9" t="s">
        <v>728</v>
      </c>
      <c r="B45" s="9" t="s">
        <v>369</v>
      </c>
      <c r="C45" s="9" t="s">
        <v>676</v>
      </c>
      <c r="D45" s="9" t="s">
        <v>725</v>
      </c>
      <c r="E45" s="9" t="s">
        <v>729</v>
      </c>
      <c r="F45" s="9" t="s">
        <v>582</v>
      </c>
      <c r="G45" s="9" t="s">
        <v>369</v>
      </c>
      <c r="H45" s="9" t="s">
        <v>583</v>
      </c>
      <c r="I45" s="9" t="s">
        <v>565</v>
      </c>
      <c r="J45" s="9" t="s">
        <v>155</v>
      </c>
      <c r="K45" s="9" t="s">
        <v>149</v>
      </c>
    </row>
    <row r="46" ht="15.75" customHeight="1">
      <c r="A46" s="9" t="s">
        <v>730</v>
      </c>
      <c r="B46" s="9" t="s">
        <v>369</v>
      </c>
      <c r="C46" s="9" t="s">
        <v>560</v>
      </c>
      <c r="D46" s="9" t="s">
        <v>731</v>
      </c>
      <c r="E46" s="9" t="s">
        <v>732</v>
      </c>
      <c r="F46" s="9" t="s">
        <v>582</v>
      </c>
      <c r="G46" s="9" t="s">
        <v>369</v>
      </c>
      <c r="H46" s="9" t="s">
        <v>733</v>
      </c>
      <c r="I46" s="9" t="s">
        <v>565</v>
      </c>
      <c r="J46" s="9" t="s">
        <v>155</v>
      </c>
      <c r="K46" s="9" t="s">
        <v>149</v>
      </c>
    </row>
    <row r="47" ht="15.75" customHeight="1">
      <c r="A47" s="9" t="s">
        <v>734</v>
      </c>
      <c r="B47" s="9" t="s">
        <v>369</v>
      </c>
      <c r="C47" s="9" t="s">
        <v>593</v>
      </c>
      <c r="D47" s="9" t="s">
        <v>735</v>
      </c>
      <c r="E47" s="9" t="s">
        <v>736</v>
      </c>
      <c r="F47" s="9" t="s">
        <v>582</v>
      </c>
      <c r="G47" s="9" t="s">
        <v>369</v>
      </c>
      <c r="H47" s="9" t="s">
        <v>737</v>
      </c>
      <c r="I47" s="9" t="s">
        <v>565</v>
      </c>
      <c r="J47" s="9" t="s">
        <v>155</v>
      </c>
      <c r="K47" s="9" t="s">
        <v>149</v>
      </c>
    </row>
    <row r="48" ht="15.75" customHeight="1">
      <c r="A48" s="9" t="s">
        <v>738</v>
      </c>
      <c r="B48" s="9" t="s">
        <v>369</v>
      </c>
      <c r="C48" s="9" t="s">
        <v>593</v>
      </c>
      <c r="D48" s="9" t="s">
        <v>739</v>
      </c>
      <c r="E48" s="9" t="s">
        <v>740</v>
      </c>
      <c r="F48" s="9" t="s">
        <v>582</v>
      </c>
      <c r="G48" s="9" t="s">
        <v>369</v>
      </c>
      <c r="H48" s="9" t="s">
        <v>741</v>
      </c>
      <c r="I48" s="9" t="s">
        <v>691</v>
      </c>
      <c r="J48" s="9" t="s">
        <v>155</v>
      </c>
      <c r="K48" s="9" t="s">
        <v>149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2"/>
  </mergeCells>
  <conditionalFormatting sqref="K5:K48">
    <cfRule type="cellIs" dxfId="0" priority="1" operator="equal">
      <formula>"Done"</formula>
    </cfRule>
  </conditionalFormatting>
  <conditionalFormatting sqref="K5:K48">
    <cfRule type="cellIs" dxfId="1" priority="2" operator="equal">
      <formula>"In Progress"</formula>
    </cfRule>
  </conditionalFormatting>
  <conditionalFormatting sqref="K5:K48">
    <cfRule type="cellIs" dxfId="2" priority="3" operator="equal">
      <formula>"Blocked"</formula>
    </cfRule>
  </conditionalFormatting>
  <conditionalFormatting sqref="K5:K48">
    <cfRule type="cellIs" dxfId="3" priority="4" operator="equal">
      <formula>"Not Started"</formula>
    </cfRule>
  </conditionalFormatting>
  <conditionalFormatting sqref="K5:K48">
    <cfRule type="cellIs" dxfId="4" priority="5" operator="equal">
      <formula>"In Review"</formula>
    </cfRule>
  </conditionalFormatting>
  <conditionalFormatting sqref="K5:K48">
    <cfRule type="cellIs" dxfId="0" priority="6" operator="equal">
      <formula>"Fixed"</formula>
    </cfRule>
  </conditionalFormatting>
  <conditionalFormatting sqref="K5:K48">
    <cfRule type="cellIs" dxfId="5" priority="7" operator="equal">
      <formula>"Verified"</formula>
    </cfRule>
  </conditionalFormatting>
  <conditionalFormatting sqref="K5:K48">
    <cfRule type="cellIs" dxfId="6" priority="8" operator="equal">
      <formula>"Won't Fix"</formula>
    </cfRule>
  </conditionalFormatting>
  <conditionalFormatting sqref="K5:K48">
    <cfRule type="cellIs" dxfId="7" priority="9" operator="equal">
      <formula>"New"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1.0"/>
    <col customWidth="1" min="3" max="3" width="14.0"/>
    <col customWidth="1" min="4" max="4" width="7.0"/>
    <col customWidth="1" min="5" max="5" width="26.25"/>
    <col customWidth="1" min="6" max="6" width="12.88"/>
    <col customWidth="1" min="7" max="7" width="12.25"/>
    <col customWidth="1" min="8" max="8" width="21.25"/>
    <col customWidth="1" min="9" max="9" width="7.0"/>
    <col customWidth="1" min="10" max="10" width="24.5"/>
    <col customWidth="1" min="11" max="11" width="28.0"/>
    <col customWidth="1" min="12" max="26" width="7.63"/>
  </cols>
  <sheetData>
    <row r="1" ht="26.25" customHeight="1">
      <c r="A1" s="40" t="s">
        <v>742</v>
      </c>
      <c r="B1" s="41"/>
      <c r="C1" s="42"/>
      <c r="D1" s="43" t="s">
        <v>743</v>
      </c>
      <c r="E1" s="43" t="s">
        <v>744</v>
      </c>
      <c r="F1" s="43" t="s">
        <v>745</v>
      </c>
    </row>
    <row r="2" ht="15.0" customHeight="1">
      <c r="A2" s="44" t="s">
        <v>746</v>
      </c>
      <c r="B2" s="41"/>
      <c r="C2" s="42"/>
      <c r="D2" s="45"/>
      <c r="E2" s="45"/>
      <c r="F2" s="45"/>
    </row>
    <row r="3" ht="15.0" customHeight="1">
      <c r="A3" s="40" t="s">
        <v>747</v>
      </c>
      <c r="B3" s="41"/>
      <c r="C3" s="41"/>
      <c r="D3" s="41"/>
      <c r="E3" s="41"/>
      <c r="F3" s="42"/>
    </row>
    <row r="4" ht="15.0" customHeight="1">
      <c r="A4" s="46" t="s">
        <v>748</v>
      </c>
      <c r="B4" s="41"/>
      <c r="C4" s="41"/>
      <c r="D4" s="41"/>
      <c r="E4" s="41"/>
      <c r="F4" s="42"/>
    </row>
    <row r="5">
      <c r="A5" s="43" t="s">
        <v>749</v>
      </c>
      <c r="B5" s="43" t="s">
        <v>750</v>
      </c>
      <c r="C5" s="43" t="s">
        <v>751</v>
      </c>
      <c r="D5" s="43" t="s">
        <v>752</v>
      </c>
      <c r="E5" s="43" t="s">
        <v>753</v>
      </c>
      <c r="F5" s="43" t="s">
        <v>754</v>
      </c>
      <c r="G5" s="43" t="s">
        <v>755</v>
      </c>
      <c r="H5" s="43" t="s">
        <v>756</v>
      </c>
      <c r="I5" s="43" t="s">
        <v>757</v>
      </c>
      <c r="J5" s="43" t="s">
        <v>758</v>
      </c>
      <c r="K5" s="43" t="s">
        <v>759</v>
      </c>
    </row>
    <row r="6">
      <c r="A6" s="45" t="s">
        <v>760</v>
      </c>
      <c r="B6" s="45" t="s">
        <v>108</v>
      </c>
      <c r="C6" s="47" t="s">
        <v>761</v>
      </c>
      <c r="D6" s="47"/>
      <c r="E6" s="45"/>
      <c r="F6" s="47" t="s">
        <v>762</v>
      </c>
      <c r="G6" s="47"/>
      <c r="H6" s="47" t="s">
        <v>762</v>
      </c>
      <c r="I6" s="47" t="s">
        <v>762</v>
      </c>
      <c r="J6" s="45"/>
      <c r="K6" s="45" t="s">
        <v>763</v>
      </c>
    </row>
    <row r="7">
      <c r="A7" s="45" t="s">
        <v>764</v>
      </c>
      <c r="B7" s="45" t="s">
        <v>765</v>
      </c>
      <c r="C7" s="47" t="s">
        <v>766</v>
      </c>
      <c r="D7" s="47" t="s">
        <v>767</v>
      </c>
      <c r="E7" s="45" t="s">
        <v>768</v>
      </c>
      <c r="F7" s="47"/>
      <c r="G7" s="47"/>
      <c r="H7" s="47"/>
      <c r="I7" s="47"/>
      <c r="J7" s="45"/>
      <c r="K7" s="45" t="s">
        <v>769</v>
      </c>
    </row>
    <row r="8">
      <c r="A8" s="45" t="s">
        <v>770</v>
      </c>
      <c r="B8" s="45" t="s">
        <v>771</v>
      </c>
      <c r="C8" s="47" t="s">
        <v>772</v>
      </c>
      <c r="D8" s="47"/>
      <c r="E8" s="45" t="s">
        <v>773</v>
      </c>
      <c r="F8" s="47"/>
      <c r="G8" s="47"/>
      <c r="H8" s="47"/>
      <c r="I8" s="47"/>
      <c r="J8" s="45"/>
      <c r="K8" s="45"/>
    </row>
    <row r="9">
      <c r="A9" s="45" t="s">
        <v>774</v>
      </c>
      <c r="B9" s="45" t="s">
        <v>775</v>
      </c>
      <c r="C9" s="47" t="s">
        <v>772</v>
      </c>
      <c r="D9" s="47"/>
      <c r="E9" s="45" t="s">
        <v>776</v>
      </c>
      <c r="F9" s="47"/>
      <c r="G9" s="47"/>
      <c r="H9" s="47"/>
      <c r="I9" s="47"/>
      <c r="J9" s="45"/>
      <c r="K9" s="45"/>
    </row>
    <row r="10">
      <c r="A10" s="45" t="s">
        <v>777</v>
      </c>
      <c r="B10" s="45" t="s">
        <v>778</v>
      </c>
      <c r="C10" s="47" t="s">
        <v>772</v>
      </c>
      <c r="D10" s="47"/>
      <c r="E10" s="45" t="s">
        <v>779</v>
      </c>
      <c r="F10" s="47"/>
      <c r="G10" s="47"/>
      <c r="H10" s="47"/>
      <c r="I10" s="47"/>
      <c r="J10" s="45"/>
      <c r="K10" s="45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</row>
    <row r="14" ht="15.0" customHeight="1">
      <c r="A14" s="40" t="s">
        <v>780</v>
      </c>
      <c r="B14" s="41"/>
      <c r="C14" s="41"/>
      <c r="D14" s="41"/>
      <c r="E14" s="41"/>
      <c r="F14" s="42"/>
    </row>
    <row r="15" ht="15.75" customHeight="1">
      <c r="A15" s="48" t="s">
        <v>781</v>
      </c>
      <c r="B15" s="49"/>
      <c r="C15" s="49"/>
      <c r="D15" s="49"/>
      <c r="E15" s="49"/>
      <c r="F15" s="50"/>
    </row>
    <row r="16" ht="15.75" customHeight="1">
      <c r="A16" s="51"/>
      <c r="F16" s="52"/>
    </row>
    <row r="17" ht="15.75" customHeight="1">
      <c r="A17" s="51"/>
      <c r="F17" s="52"/>
    </row>
    <row r="18" ht="15.75" customHeight="1">
      <c r="A18" s="51"/>
      <c r="F18" s="52"/>
    </row>
    <row r="19" ht="15.75" customHeight="1">
      <c r="A19" s="51"/>
      <c r="F19" s="52"/>
    </row>
    <row r="20" ht="15.75" customHeight="1">
      <c r="A20" s="51"/>
      <c r="F20" s="52"/>
    </row>
    <row r="21" ht="15.75" customHeight="1">
      <c r="A21" s="53"/>
      <c r="B21" s="54"/>
      <c r="C21" s="54"/>
      <c r="D21" s="54"/>
      <c r="E21" s="54"/>
      <c r="F21" s="55"/>
    </row>
    <row r="22" ht="15.75" customHeight="1"/>
    <row r="23" ht="15.75" customHeight="1"/>
    <row r="24" ht="26.25" customHeight="1">
      <c r="A24" s="40" t="s">
        <v>742</v>
      </c>
      <c r="B24" s="41"/>
      <c r="C24" s="42"/>
      <c r="D24" s="43" t="s">
        <v>743</v>
      </c>
      <c r="E24" s="43" t="s">
        <v>744</v>
      </c>
      <c r="F24" s="43" t="s">
        <v>745</v>
      </c>
    </row>
    <row r="25" ht="15.0" customHeight="1">
      <c r="A25" s="44" t="s">
        <v>782</v>
      </c>
      <c r="B25" s="41"/>
      <c r="C25" s="42"/>
      <c r="D25" s="45"/>
      <c r="E25" s="45"/>
      <c r="F25" s="45"/>
    </row>
    <row r="26" ht="15.0" customHeight="1">
      <c r="A26" s="40" t="s">
        <v>747</v>
      </c>
      <c r="B26" s="41"/>
      <c r="C26" s="41"/>
      <c r="D26" s="41"/>
      <c r="E26" s="41"/>
      <c r="F26" s="42"/>
    </row>
    <row r="27" ht="15.0" customHeight="1">
      <c r="A27" s="46" t="s">
        <v>783</v>
      </c>
      <c r="B27" s="41"/>
      <c r="C27" s="41"/>
      <c r="D27" s="41"/>
      <c r="E27" s="41"/>
      <c r="F27" s="42"/>
    </row>
    <row r="28" ht="15.75" customHeight="1">
      <c r="A28" s="43" t="s">
        <v>749</v>
      </c>
      <c r="B28" s="43" t="s">
        <v>750</v>
      </c>
      <c r="C28" s="43" t="s">
        <v>751</v>
      </c>
      <c r="D28" s="43" t="s">
        <v>752</v>
      </c>
      <c r="E28" s="43" t="s">
        <v>753</v>
      </c>
      <c r="F28" s="43" t="s">
        <v>754</v>
      </c>
      <c r="G28" s="43" t="s">
        <v>755</v>
      </c>
      <c r="H28" s="43" t="s">
        <v>756</v>
      </c>
      <c r="I28" s="43" t="s">
        <v>757</v>
      </c>
      <c r="J28" s="43" t="s">
        <v>758</v>
      </c>
      <c r="K28" s="43" t="s">
        <v>759</v>
      </c>
    </row>
    <row r="29" ht="15.75" customHeight="1">
      <c r="A29" s="45" t="s">
        <v>760</v>
      </c>
      <c r="B29" s="45" t="s">
        <v>108</v>
      </c>
      <c r="C29" s="47" t="s">
        <v>784</v>
      </c>
      <c r="D29" s="47"/>
      <c r="E29" s="45"/>
      <c r="F29" s="47" t="s">
        <v>762</v>
      </c>
      <c r="G29" s="47"/>
      <c r="H29" s="47" t="s">
        <v>762</v>
      </c>
      <c r="I29" s="47" t="s">
        <v>762</v>
      </c>
      <c r="J29" s="45"/>
      <c r="K29" s="45" t="s">
        <v>763</v>
      </c>
    </row>
    <row r="30" ht="15.75" customHeight="1">
      <c r="A30" s="45" t="s">
        <v>785</v>
      </c>
      <c r="B30" s="45" t="s">
        <v>786</v>
      </c>
      <c r="C30" s="47" t="s">
        <v>772</v>
      </c>
      <c r="D30" s="47"/>
      <c r="E30" s="45"/>
      <c r="F30" s="47"/>
      <c r="G30" s="47"/>
      <c r="H30" s="47"/>
      <c r="I30" s="47"/>
      <c r="J30" s="45" t="s">
        <v>787</v>
      </c>
      <c r="K30" s="45"/>
    </row>
    <row r="31" ht="15.75" customHeight="1">
      <c r="A31" s="45" t="s">
        <v>788</v>
      </c>
      <c r="B31" s="45" t="s">
        <v>789</v>
      </c>
      <c r="C31" s="47" t="s">
        <v>790</v>
      </c>
      <c r="D31" s="47"/>
      <c r="E31" s="45"/>
      <c r="F31" s="47" t="s">
        <v>762</v>
      </c>
      <c r="G31" s="47"/>
      <c r="H31" s="47"/>
      <c r="I31" s="47"/>
      <c r="J31" s="45"/>
      <c r="K31" s="45" t="s">
        <v>791</v>
      </c>
    </row>
    <row r="32" ht="15.75" customHeight="1">
      <c r="A32" s="45" t="s">
        <v>792</v>
      </c>
      <c r="B32" s="45" t="s">
        <v>793</v>
      </c>
      <c r="C32" s="47" t="s">
        <v>794</v>
      </c>
      <c r="D32" s="47"/>
      <c r="E32" s="45"/>
      <c r="F32" s="47" t="s">
        <v>762</v>
      </c>
      <c r="G32" s="47"/>
      <c r="H32" s="47"/>
      <c r="I32" s="47"/>
      <c r="J32" s="45"/>
      <c r="K32" s="45"/>
    </row>
    <row r="33" ht="15.75" customHeight="1">
      <c r="A33" s="45" t="s">
        <v>795</v>
      </c>
      <c r="B33" s="45" t="s">
        <v>796</v>
      </c>
      <c r="C33" s="47" t="s">
        <v>766</v>
      </c>
      <c r="D33" s="47" t="s">
        <v>797</v>
      </c>
      <c r="E33" s="45" t="s">
        <v>798</v>
      </c>
      <c r="F33" s="47"/>
      <c r="G33" s="47"/>
      <c r="H33" s="47"/>
      <c r="I33" s="47"/>
      <c r="J33" s="45"/>
      <c r="K33" s="45"/>
    </row>
    <row r="34" ht="15.75" customHeight="1">
      <c r="A34" s="45" t="s">
        <v>799</v>
      </c>
      <c r="B34" s="45" t="s">
        <v>800</v>
      </c>
      <c r="C34" s="47" t="s">
        <v>801</v>
      </c>
      <c r="D34" s="47"/>
      <c r="E34" s="45" t="s">
        <v>802</v>
      </c>
      <c r="F34" s="47" t="s">
        <v>762</v>
      </c>
      <c r="G34" s="47"/>
      <c r="H34" s="47"/>
      <c r="I34" s="47"/>
      <c r="J34" s="45"/>
      <c r="K34" s="45" t="s">
        <v>803</v>
      </c>
    </row>
    <row r="35" ht="15.75" customHeight="1">
      <c r="A35" s="45" t="s">
        <v>804</v>
      </c>
      <c r="B35" s="45" t="s">
        <v>805</v>
      </c>
      <c r="C35" s="47" t="s">
        <v>801</v>
      </c>
      <c r="D35" s="47"/>
      <c r="E35" s="45"/>
      <c r="F35" s="47"/>
      <c r="G35" s="47"/>
      <c r="H35" s="47"/>
      <c r="I35" s="47"/>
      <c r="J35" s="45"/>
      <c r="K35" s="45" t="s">
        <v>806</v>
      </c>
    </row>
    <row r="36" ht="15.75" customHeight="1">
      <c r="A36" s="45" t="s">
        <v>807</v>
      </c>
      <c r="B36" s="45" t="s">
        <v>808</v>
      </c>
      <c r="C36" s="47" t="s">
        <v>809</v>
      </c>
      <c r="D36" s="47"/>
      <c r="E36" s="45"/>
      <c r="F36" s="47"/>
      <c r="G36" s="47" t="s">
        <v>810</v>
      </c>
      <c r="H36" s="47"/>
      <c r="I36" s="47"/>
      <c r="J36" s="45"/>
      <c r="K36" s="45" t="s">
        <v>811</v>
      </c>
    </row>
    <row r="37" ht="15.75" customHeight="1">
      <c r="A37" s="45" t="s">
        <v>812</v>
      </c>
      <c r="B37" s="45" t="s">
        <v>813</v>
      </c>
      <c r="C37" s="47" t="s">
        <v>809</v>
      </c>
      <c r="D37" s="47"/>
      <c r="E37" s="45"/>
      <c r="F37" s="47"/>
      <c r="G37" s="47"/>
      <c r="H37" s="47"/>
      <c r="I37" s="47"/>
      <c r="J37" s="45"/>
      <c r="K37" s="45" t="s">
        <v>811</v>
      </c>
    </row>
    <row r="38" ht="15.75" customHeight="1">
      <c r="A38" s="45" t="s">
        <v>814</v>
      </c>
      <c r="B38" s="45" t="s">
        <v>815</v>
      </c>
      <c r="C38" s="47" t="s">
        <v>794</v>
      </c>
      <c r="D38" s="47"/>
      <c r="E38" s="45"/>
      <c r="F38" s="47"/>
      <c r="G38" s="47"/>
      <c r="H38" s="47"/>
      <c r="I38" s="47"/>
      <c r="J38" s="45"/>
      <c r="K38" s="45"/>
    </row>
    <row r="39" ht="15.75" customHeight="1">
      <c r="A39" s="45" t="s">
        <v>816</v>
      </c>
      <c r="B39" s="45" t="s">
        <v>817</v>
      </c>
      <c r="C39" s="47" t="s">
        <v>794</v>
      </c>
      <c r="D39" s="47"/>
      <c r="E39" s="45"/>
      <c r="F39" s="47"/>
      <c r="G39" s="47"/>
      <c r="H39" s="47"/>
      <c r="I39" s="47"/>
      <c r="J39" s="45"/>
      <c r="K39" s="45"/>
    </row>
    <row r="40" ht="15.75" customHeight="1">
      <c r="A40" s="45" t="s">
        <v>818</v>
      </c>
      <c r="B40" s="45" t="s">
        <v>819</v>
      </c>
      <c r="C40" s="47" t="s">
        <v>766</v>
      </c>
      <c r="D40" s="47" t="s">
        <v>820</v>
      </c>
      <c r="E40" s="45" t="s">
        <v>821</v>
      </c>
      <c r="F40" s="47"/>
      <c r="G40" s="47"/>
      <c r="H40" s="47"/>
      <c r="I40" s="47"/>
      <c r="J40" s="45"/>
      <c r="K40" s="45"/>
    </row>
    <row r="41" ht="15.75" customHeight="1">
      <c r="A41" s="45" t="s">
        <v>822</v>
      </c>
      <c r="B41" s="45" t="s">
        <v>823</v>
      </c>
      <c r="C41" s="47" t="s">
        <v>824</v>
      </c>
      <c r="D41" s="47"/>
      <c r="E41" s="45"/>
      <c r="F41" s="47"/>
      <c r="G41" s="47"/>
      <c r="H41" s="47"/>
      <c r="I41" s="47"/>
      <c r="J41" s="45"/>
      <c r="K41" s="45" t="s">
        <v>825</v>
      </c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</row>
    <row r="45" ht="15.0" customHeight="1">
      <c r="A45" s="40" t="s">
        <v>780</v>
      </c>
      <c r="B45" s="41"/>
      <c r="C45" s="41"/>
      <c r="D45" s="41"/>
      <c r="E45" s="41"/>
      <c r="F45" s="42"/>
    </row>
    <row r="46" ht="15.75" customHeight="1">
      <c r="A46" s="48" t="s">
        <v>826</v>
      </c>
      <c r="B46" s="49"/>
      <c r="C46" s="49"/>
      <c r="D46" s="49"/>
      <c r="E46" s="49"/>
      <c r="F46" s="50"/>
    </row>
    <row r="47" ht="15.75" customHeight="1">
      <c r="A47" s="51"/>
      <c r="F47" s="52"/>
    </row>
    <row r="48" ht="15.75" customHeight="1">
      <c r="A48" s="51"/>
      <c r="F48" s="52"/>
    </row>
    <row r="49" ht="15.75" customHeight="1">
      <c r="A49" s="51"/>
      <c r="F49" s="52"/>
    </row>
    <row r="50" ht="15.75" customHeight="1">
      <c r="A50" s="51"/>
      <c r="F50" s="52"/>
    </row>
    <row r="51" ht="15.75" customHeight="1">
      <c r="A51" s="51"/>
      <c r="F51" s="52"/>
    </row>
    <row r="52" ht="15.75" customHeight="1">
      <c r="A52" s="51"/>
      <c r="F52" s="52"/>
    </row>
    <row r="53" ht="15.75" customHeight="1">
      <c r="A53" s="51"/>
      <c r="F53" s="52"/>
    </row>
    <row r="54" ht="15.75" customHeight="1">
      <c r="A54" s="51"/>
      <c r="F54" s="52"/>
    </row>
    <row r="55" ht="15.75" customHeight="1">
      <c r="A55" s="51"/>
      <c r="F55" s="52"/>
    </row>
    <row r="56" ht="15.75" customHeight="1">
      <c r="A56" s="51"/>
      <c r="F56" s="52"/>
    </row>
    <row r="57" ht="15.75" customHeight="1">
      <c r="A57" s="51"/>
      <c r="F57" s="52"/>
    </row>
    <row r="58" ht="15.75" customHeight="1">
      <c r="A58" s="51"/>
      <c r="F58" s="52"/>
    </row>
    <row r="59" ht="15.75" customHeight="1">
      <c r="A59" s="51"/>
      <c r="F59" s="52"/>
    </row>
    <row r="60" ht="15.75" customHeight="1">
      <c r="A60" s="51"/>
      <c r="F60" s="52"/>
    </row>
    <row r="61" ht="15.75" customHeight="1">
      <c r="A61" s="51"/>
      <c r="F61" s="52"/>
    </row>
    <row r="62" ht="15.75" customHeight="1">
      <c r="A62" s="53"/>
      <c r="B62" s="54"/>
      <c r="C62" s="54"/>
      <c r="D62" s="54"/>
      <c r="E62" s="54"/>
      <c r="F62" s="55"/>
    </row>
    <row r="63" ht="15.75" customHeight="1"/>
    <row r="64" ht="15.75" customHeight="1"/>
    <row r="65" ht="26.25" customHeight="1">
      <c r="A65" s="40" t="s">
        <v>742</v>
      </c>
      <c r="B65" s="41"/>
      <c r="C65" s="42"/>
      <c r="D65" s="43" t="s">
        <v>743</v>
      </c>
      <c r="E65" s="43" t="s">
        <v>744</v>
      </c>
      <c r="F65" s="43" t="s">
        <v>745</v>
      </c>
    </row>
    <row r="66" ht="15.0" customHeight="1">
      <c r="A66" s="44" t="s">
        <v>827</v>
      </c>
      <c r="B66" s="41"/>
      <c r="C66" s="42"/>
      <c r="D66" s="45"/>
      <c r="E66" s="45"/>
      <c r="F66" s="45"/>
    </row>
    <row r="67" ht="15.0" customHeight="1">
      <c r="A67" s="40" t="s">
        <v>747</v>
      </c>
      <c r="B67" s="41"/>
      <c r="C67" s="41"/>
      <c r="D67" s="41"/>
      <c r="E67" s="41"/>
      <c r="F67" s="42"/>
    </row>
    <row r="68" ht="15.0" customHeight="1">
      <c r="A68" s="46" t="s">
        <v>828</v>
      </c>
      <c r="B68" s="41"/>
      <c r="C68" s="41"/>
      <c r="D68" s="41"/>
      <c r="E68" s="41"/>
      <c r="F68" s="42"/>
    </row>
    <row r="69" ht="15.75" customHeight="1">
      <c r="A69" s="43" t="s">
        <v>749</v>
      </c>
      <c r="B69" s="43" t="s">
        <v>750</v>
      </c>
      <c r="C69" s="43" t="s">
        <v>751</v>
      </c>
      <c r="D69" s="43" t="s">
        <v>752</v>
      </c>
      <c r="E69" s="43" t="s">
        <v>753</v>
      </c>
      <c r="F69" s="43" t="s">
        <v>754</v>
      </c>
      <c r="G69" s="43" t="s">
        <v>755</v>
      </c>
      <c r="H69" s="43" t="s">
        <v>756</v>
      </c>
      <c r="I69" s="43" t="s">
        <v>757</v>
      </c>
      <c r="J69" s="43" t="s">
        <v>758</v>
      </c>
      <c r="K69" s="43" t="s">
        <v>759</v>
      </c>
    </row>
    <row r="70" ht="15.75" customHeight="1">
      <c r="A70" s="45" t="s">
        <v>760</v>
      </c>
      <c r="B70" s="45" t="s">
        <v>108</v>
      </c>
      <c r="C70" s="47" t="s">
        <v>784</v>
      </c>
      <c r="D70" s="47"/>
      <c r="E70" s="45"/>
      <c r="F70" s="47" t="s">
        <v>762</v>
      </c>
      <c r="G70" s="47"/>
      <c r="H70" s="47" t="s">
        <v>762</v>
      </c>
      <c r="I70" s="47" t="s">
        <v>762</v>
      </c>
      <c r="J70" s="45"/>
      <c r="K70" s="45" t="s">
        <v>763</v>
      </c>
    </row>
    <row r="71" ht="15.75" customHeight="1">
      <c r="A71" s="45" t="s">
        <v>829</v>
      </c>
      <c r="B71" s="45" t="s">
        <v>830</v>
      </c>
      <c r="C71" s="47" t="s">
        <v>809</v>
      </c>
      <c r="D71" s="47"/>
      <c r="E71" s="45"/>
      <c r="F71" s="47"/>
      <c r="G71" s="47"/>
      <c r="H71" s="47"/>
      <c r="I71" s="47"/>
      <c r="J71" s="45" t="s">
        <v>831</v>
      </c>
      <c r="K71" s="45"/>
    </row>
    <row r="72" ht="15.75" customHeight="1">
      <c r="A72" s="45" t="s">
        <v>832</v>
      </c>
      <c r="B72" s="45" t="s">
        <v>833</v>
      </c>
      <c r="C72" s="47" t="s">
        <v>772</v>
      </c>
      <c r="D72" s="47"/>
      <c r="E72" s="45" t="s">
        <v>834</v>
      </c>
      <c r="F72" s="47" t="s">
        <v>762</v>
      </c>
      <c r="G72" s="47"/>
      <c r="H72" s="47"/>
      <c r="I72" s="47"/>
      <c r="J72" s="45"/>
      <c r="K72" s="45" t="s">
        <v>835</v>
      </c>
    </row>
    <row r="73" ht="15.75" customHeight="1">
      <c r="A73" s="45" t="s">
        <v>836</v>
      </c>
      <c r="B73" s="45" t="s">
        <v>837</v>
      </c>
      <c r="C73" s="47" t="s">
        <v>790</v>
      </c>
      <c r="D73" s="47"/>
      <c r="E73" s="45"/>
      <c r="F73" s="47" t="s">
        <v>762</v>
      </c>
      <c r="G73" s="47"/>
      <c r="H73" s="47"/>
      <c r="I73" s="47"/>
      <c r="J73" s="45"/>
      <c r="K73" s="45"/>
    </row>
    <row r="74" ht="15.75" customHeight="1">
      <c r="A74" s="45" t="s">
        <v>838</v>
      </c>
      <c r="B74" s="45" t="s">
        <v>839</v>
      </c>
      <c r="C74" s="47" t="s">
        <v>809</v>
      </c>
      <c r="D74" s="47"/>
      <c r="E74" s="45"/>
      <c r="F74" s="47" t="s">
        <v>762</v>
      </c>
      <c r="G74" s="47"/>
      <c r="H74" s="47"/>
      <c r="I74" s="47"/>
      <c r="J74" s="45"/>
      <c r="K74" s="45" t="s">
        <v>811</v>
      </c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</row>
    <row r="78" ht="15.0" customHeight="1">
      <c r="A78" s="40" t="s">
        <v>780</v>
      </c>
      <c r="B78" s="41"/>
      <c r="C78" s="41"/>
      <c r="D78" s="41"/>
      <c r="E78" s="41"/>
      <c r="F78" s="42"/>
    </row>
    <row r="79" ht="15.75" customHeight="1">
      <c r="A79" s="48" t="s">
        <v>840</v>
      </c>
      <c r="B79" s="49"/>
      <c r="C79" s="49"/>
      <c r="D79" s="49"/>
      <c r="E79" s="49"/>
      <c r="F79" s="50"/>
    </row>
    <row r="80" ht="15.75" customHeight="1">
      <c r="A80" s="51"/>
      <c r="F80" s="52"/>
    </row>
    <row r="81" ht="15.75" customHeight="1">
      <c r="A81" s="51"/>
      <c r="F81" s="52"/>
    </row>
    <row r="82" ht="15.75" customHeight="1">
      <c r="A82" s="51"/>
      <c r="F82" s="52"/>
    </row>
    <row r="83" ht="15.75" customHeight="1">
      <c r="A83" s="51"/>
      <c r="F83" s="52"/>
    </row>
    <row r="84" ht="15.75" customHeight="1">
      <c r="A84" s="51"/>
      <c r="F84" s="52"/>
    </row>
    <row r="85" ht="15.75" customHeight="1">
      <c r="A85" s="51"/>
      <c r="F85" s="52"/>
    </row>
    <row r="86" ht="15.75" customHeight="1">
      <c r="A86" s="53"/>
      <c r="B86" s="54"/>
      <c r="C86" s="54"/>
      <c r="D86" s="54"/>
      <c r="E86" s="54"/>
      <c r="F86" s="55"/>
    </row>
    <row r="87" ht="15.75" customHeight="1"/>
    <row r="88" ht="15.75" customHeight="1"/>
    <row r="89" ht="26.25" customHeight="1">
      <c r="A89" s="40" t="s">
        <v>742</v>
      </c>
      <c r="B89" s="41"/>
      <c r="C89" s="42"/>
      <c r="D89" s="43" t="s">
        <v>743</v>
      </c>
      <c r="E89" s="43" t="s">
        <v>744</v>
      </c>
      <c r="F89" s="43" t="s">
        <v>745</v>
      </c>
    </row>
    <row r="90" ht="15.0" customHeight="1">
      <c r="A90" s="44" t="s">
        <v>841</v>
      </c>
      <c r="B90" s="41"/>
      <c r="C90" s="42"/>
      <c r="D90" s="45"/>
      <c r="E90" s="45"/>
      <c r="F90" s="45"/>
    </row>
    <row r="91" ht="15.0" customHeight="1">
      <c r="A91" s="40" t="s">
        <v>747</v>
      </c>
      <c r="B91" s="41"/>
      <c r="C91" s="41"/>
      <c r="D91" s="41"/>
      <c r="E91" s="41"/>
      <c r="F91" s="42"/>
    </row>
    <row r="92" ht="15.0" customHeight="1">
      <c r="A92" s="46" t="s">
        <v>842</v>
      </c>
      <c r="B92" s="41"/>
      <c r="C92" s="41"/>
      <c r="D92" s="41"/>
      <c r="E92" s="41"/>
      <c r="F92" s="42"/>
    </row>
    <row r="93" ht="15.75" customHeight="1">
      <c r="A93" s="43" t="s">
        <v>749</v>
      </c>
      <c r="B93" s="43" t="s">
        <v>750</v>
      </c>
      <c r="C93" s="43" t="s">
        <v>751</v>
      </c>
      <c r="D93" s="43" t="s">
        <v>752</v>
      </c>
      <c r="E93" s="43" t="s">
        <v>753</v>
      </c>
      <c r="F93" s="43" t="s">
        <v>754</v>
      </c>
      <c r="G93" s="43" t="s">
        <v>755</v>
      </c>
      <c r="H93" s="43" t="s">
        <v>756</v>
      </c>
      <c r="I93" s="43" t="s">
        <v>757</v>
      </c>
      <c r="J93" s="43" t="s">
        <v>758</v>
      </c>
      <c r="K93" s="43" t="s">
        <v>759</v>
      </c>
    </row>
    <row r="94" ht="15.75" customHeight="1">
      <c r="A94" s="45" t="s">
        <v>760</v>
      </c>
      <c r="B94" s="45" t="s">
        <v>108</v>
      </c>
      <c r="C94" s="47" t="s">
        <v>784</v>
      </c>
      <c r="D94" s="47"/>
      <c r="E94" s="45"/>
      <c r="F94" s="47" t="s">
        <v>762</v>
      </c>
      <c r="G94" s="47"/>
      <c r="H94" s="47" t="s">
        <v>762</v>
      </c>
      <c r="I94" s="47" t="s">
        <v>762</v>
      </c>
      <c r="J94" s="45"/>
      <c r="K94" s="45" t="s">
        <v>763</v>
      </c>
    </row>
    <row r="95" ht="15.75" customHeight="1">
      <c r="A95" s="45" t="s">
        <v>843</v>
      </c>
      <c r="B95" s="45" t="s">
        <v>844</v>
      </c>
      <c r="C95" s="47" t="s">
        <v>845</v>
      </c>
      <c r="D95" s="47"/>
      <c r="E95" s="45"/>
      <c r="F95" s="47" t="s">
        <v>762</v>
      </c>
      <c r="G95" s="47"/>
      <c r="H95" s="47"/>
      <c r="I95" s="47"/>
      <c r="J95" s="45"/>
      <c r="K95" s="45" t="s">
        <v>846</v>
      </c>
    </row>
    <row r="96" ht="15.75" customHeight="1">
      <c r="A96" s="45" t="s">
        <v>847</v>
      </c>
      <c r="B96" s="45" t="s">
        <v>848</v>
      </c>
      <c r="C96" s="47" t="s">
        <v>824</v>
      </c>
      <c r="D96" s="47"/>
      <c r="E96" s="45"/>
      <c r="F96" s="47"/>
      <c r="G96" s="47"/>
      <c r="H96" s="47"/>
      <c r="I96" s="47"/>
      <c r="J96" s="45"/>
      <c r="K96" s="45"/>
    </row>
    <row r="97" ht="15.75" customHeight="1">
      <c r="A97" s="45" t="s">
        <v>849</v>
      </c>
      <c r="B97" s="45" t="s">
        <v>850</v>
      </c>
      <c r="C97" s="47" t="s">
        <v>851</v>
      </c>
      <c r="D97" s="47"/>
      <c r="E97" s="45"/>
      <c r="F97" s="47"/>
      <c r="G97" s="47" t="s">
        <v>852</v>
      </c>
      <c r="H97" s="47"/>
      <c r="I97" s="47"/>
      <c r="J97" s="45"/>
      <c r="K97" s="45"/>
    </row>
    <row r="98" ht="15.75" customHeight="1">
      <c r="A98" s="45" t="s">
        <v>853</v>
      </c>
      <c r="B98" s="45" t="s">
        <v>556</v>
      </c>
      <c r="C98" s="47" t="s">
        <v>766</v>
      </c>
      <c r="D98" s="47" t="s">
        <v>767</v>
      </c>
      <c r="E98" s="45" t="s">
        <v>854</v>
      </c>
      <c r="F98" s="47"/>
      <c r="G98" s="47" t="s">
        <v>855</v>
      </c>
      <c r="H98" s="47"/>
      <c r="I98" s="47"/>
      <c r="J98" s="45"/>
      <c r="K98" s="45"/>
    </row>
    <row r="99" ht="15.75" customHeight="1">
      <c r="A99" s="45" t="s">
        <v>856</v>
      </c>
      <c r="B99" s="45" t="s">
        <v>857</v>
      </c>
      <c r="C99" s="47" t="s">
        <v>858</v>
      </c>
      <c r="D99" s="47"/>
      <c r="E99" s="45"/>
      <c r="F99" s="47"/>
      <c r="G99" s="47"/>
      <c r="H99" s="47"/>
      <c r="I99" s="47"/>
      <c r="J99" s="45"/>
      <c r="K99" s="45"/>
    </row>
    <row r="100" ht="15.75" customHeight="1">
      <c r="A100" s="45" t="s">
        <v>859</v>
      </c>
      <c r="B100" s="45" t="s">
        <v>860</v>
      </c>
      <c r="C100" s="47" t="s">
        <v>766</v>
      </c>
      <c r="D100" s="47" t="s">
        <v>861</v>
      </c>
      <c r="E100" s="45" t="s">
        <v>862</v>
      </c>
      <c r="F100" s="47"/>
      <c r="G100" s="47" t="s">
        <v>863</v>
      </c>
      <c r="H100" s="47"/>
      <c r="I100" s="47"/>
      <c r="J100" s="45"/>
      <c r="K100" s="45"/>
    </row>
    <row r="101" ht="15.75" customHeight="1">
      <c r="A101" s="45" t="s">
        <v>864</v>
      </c>
      <c r="B101" s="45" t="s">
        <v>865</v>
      </c>
      <c r="C101" s="47" t="s">
        <v>858</v>
      </c>
      <c r="D101" s="47"/>
      <c r="E101" s="45"/>
      <c r="F101" s="47"/>
      <c r="G101" s="47" t="s">
        <v>866</v>
      </c>
      <c r="H101" s="47"/>
      <c r="I101" s="47"/>
      <c r="J101" s="45"/>
      <c r="K101" s="45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</row>
    <row r="105" ht="15.0" customHeight="1">
      <c r="A105" s="40" t="s">
        <v>780</v>
      </c>
      <c r="B105" s="41"/>
      <c r="C105" s="41"/>
      <c r="D105" s="41"/>
      <c r="E105" s="41"/>
      <c r="F105" s="42"/>
    </row>
    <row r="106" ht="15.75" customHeight="1">
      <c r="A106" s="48" t="s">
        <v>867</v>
      </c>
      <c r="B106" s="49"/>
      <c r="C106" s="49"/>
      <c r="D106" s="49"/>
      <c r="E106" s="49"/>
      <c r="F106" s="50"/>
    </row>
    <row r="107" ht="15.75" customHeight="1">
      <c r="A107" s="51"/>
      <c r="F107" s="52"/>
    </row>
    <row r="108" ht="15.75" customHeight="1">
      <c r="A108" s="51"/>
      <c r="F108" s="52"/>
    </row>
    <row r="109" ht="15.75" customHeight="1">
      <c r="A109" s="51"/>
      <c r="F109" s="52"/>
    </row>
    <row r="110" ht="15.75" customHeight="1">
      <c r="A110" s="51"/>
      <c r="F110" s="52"/>
    </row>
    <row r="111" ht="15.75" customHeight="1">
      <c r="A111" s="51"/>
      <c r="F111" s="52"/>
    </row>
    <row r="112" ht="15.75" customHeight="1">
      <c r="A112" s="51"/>
      <c r="F112" s="52"/>
    </row>
    <row r="113" ht="15.75" customHeight="1">
      <c r="A113" s="51"/>
      <c r="F113" s="52"/>
    </row>
    <row r="114" ht="15.75" customHeight="1">
      <c r="A114" s="51"/>
      <c r="F114" s="52"/>
    </row>
    <row r="115" ht="15.75" customHeight="1">
      <c r="A115" s="53"/>
      <c r="B115" s="54"/>
      <c r="C115" s="54"/>
      <c r="D115" s="54"/>
      <c r="E115" s="54"/>
      <c r="F115" s="55"/>
    </row>
    <row r="116" ht="15.75" customHeight="1"/>
    <row r="117" ht="15.75" customHeight="1"/>
    <row r="118" ht="26.25" customHeight="1">
      <c r="A118" s="40" t="s">
        <v>742</v>
      </c>
      <c r="B118" s="41"/>
      <c r="C118" s="42"/>
      <c r="D118" s="43" t="s">
        <v>743</v>
      </c>
      <c r="E118" s="43" t="s">
        <v>744</v>
      </c>
      <c r="F118" s="43" t="s">
        <v>745</v>
      </c>
    </row>
    <row r="119" ht="15.0" customHeight="1">
      <c r="A119" s="44" t="s">
        <v>868</v>
      </c>
      <c r="B119" s="41"/>
      <c r="C119" s="42"/>
      <c r="D119" s="45"/>
      <c r="E119" s="45"/>
      <c r="F119" s="45"/>
    </row>
    <row r="120" ht="15.0" customHeight="1">
      <c r="A120" s="40" t="s">
        <v>747</v>
      </c>
      <c r="B120" s="41"/>
      <c r="C120" s="41"/>
      <c r="D120" s="41"/>
      <c r="E120" s="41"/>
      <c r="F120" s="42"/>
    </row>
    <row r="121" ht="15.0" customHeight="1">
      <c r="A121" s="46" t="s">
        <v>869</v>
      </c>
      <c r="B121" s="41"/>
      <c r="C121" s="41"/>
      <c r="D121" s="41"/>
      <c r="E121" s="41"/>
      <c r="F121" s="42"/>
    </row>
    <row r="122" ht="15.75" customHeight="1">
      <c r="A122" s="43" t="s">
        <v>749</v>
      </c>
      <c r="B122" s="43" t="s">
        <v>750</v>
      </c>
      <c r="C122" s="43" t="s">
        <v>751</v>
      </c>
      <c r="D122" s="43" t="s">
        <v>752</v>
      </c>
      <c r="E122" s="43" t="s">
        <v>753</v>
      </c>
      <c r="F122" s="43" t="s">
        <v>754</v>
      </c>
      <c r="G122" s="43" t="s">
        <v>755</v>
      </c>
      <c r="H122" s="43" t="s">
        <v>756</v>
      </c>
      <c r="I122" s="43" t="s">
        <v>757</v>
      </c>
      <c r="J122" s="43" t="s">
        <v>758</v>
      </c>
      <c r="K122" s="43" t="s">
        <v>759</v>
      </c>
    </row>
    <row r="123" ht="15.75" customHeight="1">
      <c r="A123" s="45" t="s">
        <v>760</v>
      </c>
      <c r="B123" s="45" t="s">
        <v>108</v>
      </c>
      <c r="C123" s="47" t="s">
        <v>784</v>
      </c>
      <c r="D123" s="47"/>
      <c r="E123" s="45"/>
      <c r="F123" s="47" t="s">
        <v>762</v>
      </c>
      <c r="G123" s="47"/>
      <c r="H123" s="47" t="s">
        <v>762</v>
      </c>
      <c r="I123" s="47" t="s">
        <v>762</v>
      </c>
      <c r="J123" s="45"/>
      <c r="K123" s="45" t="s">
        <v>763</v>
      </c>
    </row>
    <row r="124" ht="15.75" customHeight="1">
      <c r="A124" s="45" t="s">
        <v>870</v>
      </c>
      <c r="B124" s="45" t="s">
        <v>871</v>
      </c>
      <c r="C124" s="47" t="s">
        <v>809</v>
      </c>
      <c r="D124" s="47"/>
      <c r="E124" s="45"/>
      <c r="F124" s="47"/>
      <c r="G124" s="47"/>
      <c r="H124" s="47"/>
      <c r="I124" s="47"/>
      <c r="J124" s="45" t="s">
        <v>872</v>
      </c>
      <c r="K124" s="45"/>
    </row>
    <row r="125" ht="15.75" customHeight="1">
      <c r="A125" s="45" t="s">
        <v>785</v>
      </c>
      <c r="B125" s="45" t="s">
        <v>786</v>
      </c>
      <c r="C125" s="47" t="s">
        <v>772</v>
      </c>
      <c r="D125" s="47"/>
      <c r="E125" s="45"/>
      <c r="F125" s="47"/>
      <c r="G125" s="47"/>
      <c r="H125" s="47"/>
      <c r="I125" s="47"/>
      <c r="J125" s="45" t="s">
        <v>787</v>
      </c>
      <c r="K125" s="45" t="s">
        <v>873</v>
      </c>
    </row>
    <row r="126" ht="15.75" customHeight="1">
      <c r="A126" s="45" t="s">
        <v>874</v>
      </c>
      <c r="B126" s="45" t="s">
        <v>875</v>
      </c>
      <c r="C126" s="47" t="s">
        <v>801</v>
      </c>
      <c r="D126" s="47"/>
      <c r="E126" s="45" t="s">
        <v>876</v>
      </c>
      <c r="F126" s="47" t="s">
        <v>762</v>
      </c>
      <c r="G126" s="47"/>
      <c r="H126" s="47"/>
      <c r="I126" s="47"/>
      <c r="J126" s="45"/>
      <c r="K126" s="45"/>
    </row>
    <row r="127" ht="15.75" customHeight="1">
      <c r="A127" s="45" t="s">
        <v>829</v>
      </c>
      <c r="B127" s="45" t="s">
        <v>877</v>
      </c>
      <c r="C127" s="47" t="s">
        <v>809</v>
      </c>
      <c r="D127" s="47"/>
      <c r="E127" s="45"/>
      <c r="F127" s="47"/>
      <c r="G127" s="47"/>
      <c r="H127" s="47"/>
      <c r="I127" s="47"/>
      <c r="J127" s="45" t="s">
        <v>878</v>
      </c>
      <c r="K127" s="45" t="s">
        <v>879</v>
      </c>
    </row>
    <row r="128" ht="15.75" customHeight="1">
      <c r="A128" s="45" t="s">
        <v>880</v>
      </c>
      <c r="B128" s="45" t="s">
        <v>881</v>
      </c>
      <c r="C128" s="47" t="s">
        <v>772</v>
      </c>
      <c r="D128" s="47"/>
      <c r="E128" s="45"/>
      <c r="F128" s="47"/>
      <c r="G128" s="47"/>
      <c r="H128" s="47"/>
      <c r="I128" s="47"/>
      <c r="J128" s="45"/>
      <c r="K128" s="45"/>
    </row>
    <row r="129" ht="15.75" customHeight="1">
      <c r="A129" s="56" t="s">
        <v>882</v>
      </c>
      <c r="B129" s="56" t="s">
        <v>883</v>
      </c>
      <c r="C129" s="57" t="s">
        <v>772</v>
      </c>
      <c r="D129" s="47"/>
      <c r="E129" s="45"/>
      <c r="F129" s="47"/>
      <c r="G129" s="47"/>
      <c r="H129" s="47"/>
      <c r="I129" s="47"/>
      <c r="J129" s="45"/>
      <c r="K129" s="45"/>
    </row>
    <row r="130" ht="15.75" customHeight="1">
      <c r="A130" s="45" t="s">
        <v>884</v>
      </c>
      <c r="B130" s="45" t="s">
        <v>885</v>
      </c>
      <c r="C130" s="47" t="s">
        <v>790</v>
      </c>
      <c r="D130" s="47"/>
      <c r="E130" s="45"/>
      <c r="F130" s="47"/>
      <c r="G130" s="47"/>
      <c r="H130" s="47"/>
      <c r="I130" s="47"/>
      <c r="J130" s="45"/>
      <c r="K130" s="45"/>
    </row>
    <row r="131" ht="15.75" customHeight="1">
      <c r="A131" s="45" t="s">
        <v>886</v>
      </c>
      <c r="B131" s="45" t="s">
        <v>887</v>
      </c>
      <c r="C131" s="47" t="s">
        <v>858</v>
      </c>
      <c r="D131" s="47"/>
      <c r="E131" s="45"/>
      <c r="F131" s="47"/>
      <c r="G131" s="47" t="s">
        <v>866</v>
      </c>
      <c r="H131" s="47"/>
      <c r="I131" s="47"/>
      <c r="J131" s="45"/>
      <c r="K131" s="45"/>
    </row>
    <row r="132" ht="15.75" customHeight="1">
      <c r="A132" s="56" t="s">
        <v>888</v>
      </c>
      <c r="B132" s="56" t="s">
        <v>889</v>
      </c>
      <c r="C132" s="47" t="s">
        <v>858</v>
      </c>
      <c r="D132" s="47"/>
      <c r="E132" s="47"/>
      <c r="F132" s="47"/>
      <c r="G132" s="47"/>
      <c r="H132" s="47"/>
      <c r="I132" s="47"/>
      <c r="J132" s="47"/>
      <c r="K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</row>
    <row r="135" ht="15.0" customHeight="1">
      <c r="A135" s="40" t="s">
        <v>780</v>
      </c>
      <c r="B135" s="41"/>
      <c r="C135" s="41"/>
      <c r="D135" s="41"/>
      <c r="E135" s="41"/>
      <c r="F135" s="42"/>
    </row>
    <row r="136" ht="15.75" customHeight="1">
      <c r="A136" s="58" t="s">
        <v>890</v>
      </c>
      <c r="B136" s="49"/>
      <c r="C136" s="49"/>
      <c r="D136" s="49"/>
      <c r="E136" s="49"/>
      <c r="F136" s="50"/>
    </row>
    <row r="137" ht="15.75" customHeight="1">
      <c r="A137" s="51"/>
      <c r="F137" s="52"/>
    </row>
    <row r="138" ht="15.75" customHeight="1">
      <c r="A138" s="51"/>
      <c r="F138" s="52"/>
    </row>
    <row r="139" ht="15.75" customHeight="1">
      <c r="A139" s="51"/>
      <c r="F139" s="52"/>
    </row>
    <row r="140" ht="15.75" customHeight="1">
      <c r="A140" s="51"/>
      <c r="F140" s="52"/>
    </row>
    <row r="141" ht="15.75" customHeight="1">
      <c r="A141" s="51"/>
      <c r="F141" s="52"/>
    </row>
    <row r="142" ht="15.75" customHeight="1">
      <c r="A142" s="51"/>
      <c r="F142" s="52"/>
    </row>
    <row r="143" ht="15.75" customHeight="1">
      <c r="A143" s="51"/>
      <c r="F143" s="52"/>
    </row>
    <row r="144" ht="15.75" customHeight="1">
      <c r="A144" s="51"/>
      <c r="F144" s="52"/>
    </row>
    <row r="145" ht="15.75" customHeight="1">
      <c r="A145" s="53"/>
      <c r="B145" s="54"/>
      <c r="C145" s="54"/>
      <c r="D145" s="54"/>
      <c r="E145" s="54"/>
      <c r="F145" s="55"/>
    </row>
    <row r="146" ht="15.75" customHeight="1"/>
    <row r="147" ht="15.75" customHeight="1"/>
    <row r="148" ht="26.25" customHeight="1">
      <c r="A148" s="40" t="s">
        <v>742</v>
      </c>
      <c r="B148" s="41"/>
      <c r="C148" s="42"/>
      <c r="D148" s="43" t="s">
        <v>743</v>
      </c>
      <c r="E148" s="43" t="s">
        <v>744</v>
      </c>
      <c r="F148" s="43" t="s">
        <v>745</v>
      </c>
    </row>
    <row r="149" ht="15.0" customHeight="1">
      <c r="A149" s="44" t="s">
        <v>891</v>
      </c>
      <c r="B149" s="41"/>
      <c r="C149" s="42"/>
      <c r="D149" s="45"/>
      <c r="E149" s="45"/>
      <c r="F149" s="45"/>
    </row>
    <row r="150" ht="15.0" customHeight="1">
      <c r="A150" s="40" t="s">
        <v>747</v>
      </c>
      <c r="B150" s="41"/>
      <c r="C150" s="41"/>
      <c r="D150" s="41"/>
      <c r="E150" s="41"/>
      <c r="F150" s="42"/>
    </row>
    <row r="151" ht="15.0" customHeight="1">
      <c r="A151" s="46" t="s">
        <v>892</v>
      </c>
      <c r="B151" s="41"/>
      <c r="C151" s="41"/>
      <c r="D151" s="41"/>
      <c r="E151" s="41"/>
      <c r="F151" s="42"/>
    </row>
    <row r="152" ht="15.75" customHeight="1">
      <c r="A152" s="43" t="s">
        <v>749</v>
      </c>
      <c r="B152" s="43" t="s">
        <v>750</v>
      </c>
      <c r="C152" s="43" t="s">
        <v>751</v>
      </c>
      <c r="D152" s="43" t="s">
        <v>752</v>
      </c>
      <c r="E152" s="43" t="s">
        <v>753</v>
      </c>
      <c r="F152" s="43" t="s">
        <v>754</v>
      </c>
      <c r="G152" s="43" t="s">
        <v>755</v>
      </c>
      <c r="H152" s="43" t="s">
        <v>756</v>
      </c>
      <c r="I152" s="43" t="s">
        <v>757</v>
      </c>
      <c r="J152" s="43" t="s">
        <v>758</v>
      </c>
      <c r="K152" s="43" t="s">
        <v>759</v>
      </c>
    </row>
    <row r="153" ht="15.75" customHeight="1">
      <c r="A153" s="45" t="s">
        <v>760</v>
      </c>
      <c r="B153" s="45" t="s">
        <v>108</v>
      </c>
      <c r="C153" s="47" t="s">
        <v>784</v>
      </c>
      <c r="D153" s="47"/>
      <c r="E153" s="45"/>
      <c r="F153" s="47" t="s">
        <v>762</v>
      </c>
      <c r="G153" s="47"/>
      <c r="H153" s="47" t="s">
        <v>762</v>
      </c>
      <c r="I153" s="47" t="s">
        <v>762</v>
      </c>
      <c r="J153" s="45"/>
      <c r="K153" s="45" t="s">
        <v>763</v>
      </c>
    </row>
    <row r="154" ht="15.75" customHeight="1">
      <c r="A154" s="45" t="s">
        <v>870</v>
      </c>
      <c r="B154" s="45" t="s">
        <v>871</v>
      </c>
      <c r="C154" s="47" t="s">
        <v>809</v>
      </c>
      <c r="D154" s="47"/>
      <c r="E154" s="45"/>
      <c r="F154" s="47"/>
      <c r="G154" s="47"/>
      <c r="H154" s="47"/>
      <c r="I154" s="47"/>
      <c r="J154" s="45" t="s">
        <v>872</v>
      </c>
      <c r="K154" s="45"/>
    </row>
    <row r="155" ht="15.75" customHeight="1">
      <c r="A155" s="45" t="s">
        <v>785</v>
      </c>
      <c r="B155" s="45" t="s">
        <v>786</v>
      </c>
      <c r="C155" s="47" t="s">
        <v>772</v>
      </c>
      <c r="D155" s="47"/>
      <c r="E155" s="45"/>
      <c r="F155" s="47"/>
      <c r="G155" s="47"/>
      <c r="H155" s="47"/>
      <c r="I155" s="47"/>
      <c r="J155" s="45" t="s">
        <v>787</v>
      </c>
      <c r="K155" s="45" t="s">
        <v>873</v>
      </c>
    </row>
    <row r="156" ht="15.75" customHeight="1">
      <c r="A156" s="45" t="s">
        <v>893</v>
      </c>
      <c r="B156" s="45" t="s">
        <v>894</v>
      </c>
      <c r="C156" s="47" t="s">
        <v>766</v>
      </c>
      <c r="D156" s="47" t="s">
        <v>797</v>
      </c>
      <c r="E156" s="45" t="s">
        <v>895</v>
      </c>
      <c r="F156" s="47"/>
      <c r="G156" s="47"/>
      <c r="H156" s="47"/>
      <c r="I156" s="47"/>
      <c r="J156" s="45"/>
      <c r="K156" s="45"/>
    </row>
    <row r="157" ht="15.75" customHeight="1">
      <c r="A157" s="45" t="s">
        <v>799</v>
      </c>
      <c r="B157" s="45" t="s">
        <v>896</v>
      </c>
      <c r="C157" s="47" t="s">
        <v>801</v>
      </c>
      <c r="D157" s="47"/>
      <c r="E157" s="45"/>
      <c r="F157" s="47"/>
      <c r="G157" s="47"/>
      <c r="H157" s="47"/>
      <c r="I157" s="47"/>
      <c r="J157" s="45"/>
      <c r="K157" s="45"/>
    </row>
    <row r="158" ht="15.75" customHeight="1">
      <c r="A158" s="45" t="s">
        <v>864</v>
      </c>
      <c r="B158" s="45" t="s">
        <v>865</v>
      </c>
      <c r="C158" s="47" t="s">
        <v>858</v>
      </c>
      <c r="D158" s="47"/>
      <c r="E158" s="45"/>
      <c r="F158" s="47"/>
      <c r="G158" s="47" t="s">
        <v>866</v>
      </c>
      <c r="H158" s="47"/>
      <c r="I158" s="47"/>
      <c r="J158" s="45"/>
      <c r="K158" s="45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</row>
    <row r="162" ht="15.0" customHeight="1">
      <c r="A162" s="40" t="s">
        <v>780</v>
      </c>
      <c r="B162" s="41"/>
      <c r="C162" s="41"/>
      <c r="D162" s="41"/>
      <c r="E162" s="41"/>
      <c r="F162" s="42"/>
    </row>
    <row r="163" ht="15.75" customHeight="1">
      <c r="A163" s="48" t="s">
        <v>897</v>
      </c>
      <c r="B163" s="49"/>
      <c r="C163" s="49"/>
      <c r="D163" s="49"/>
      <c r="E163" s="49"/>
      <c r="F163" s="50"/>
    </row>
    <row r="164" ht="15.75" customHeight="1">
      <c r="A164" s="51"/>
      <c r="F164" s="52"/>
    </row>
    <row r="165" ht="15.75" customHeight="1">
      <c r="A165" s="51"/>
      <c r="F165" s="52"/>
    </row>
    <row r="166" ht="15.75" customHeight="1">
      <c r="A166" s="51"/>
      <c r="F166" s="52"/>
    </row>
    <row r="167" ht="15.75" customHeight="1">
      <c r="A167" s="51"/>
      <c r="F167" s="52"/>
    </row>
    <row r="168" ht="15.75" customHeight="1">
      <c r="A168" s="51"/>
      <c r="F168" s="52"/>
    </row>
    <row r="169" ht="15.75" customHeight="1">
      <c r="A169" s="51"/>
      <c r="F169" s="52"/>
    </row>
    <row r="170" ht="15.75" customHeight="1">
      <c r="A170" s="53"/>
      <c r="B170" s="54"/>
      <c r="C170" s="54"/>
      <c r="D170" s="54"/>
      <c r="E170" s="54"/>
      <c r="F170" s="55"/>
    </row>
    <row r="171" ht="15.75" customHeight="1"/>
    <row r="172" ht="15.75" customHeight="1"/>
    <row r="173" ht="26.25" customHeight="1">
      <c r="A173" s="40" t="s">
        <v>742</v>
      </c>
      <c r="B173" s="41"/>
      <c r="C173" s="42"/>
      <c r="D173" s="43" t="s">
        <v>743</v>
      </c>
      <c r="E173" s="43" t="s">
        <v>744</v>
      </c>
      <c r="F173" s="43" t="s">
        <v>745</v>
      </c>
    </row>
    <row r="174" ht="15.0" customHeight="1">
      <c r="A174" s="44" t="s">
        <v>898</v>
      </c>
      <c r="B174" s="41"/>
      <c r="C174" s="42"/>
      <c r="D174" s="45"/>
      <c r="E174" s="45"/>
      <c r="F174" s="45"/>
    </row>
    <row r="175" ht="15.0" customHeight="1">
      <c r="A175" s="40" t="s">
        <v>747</v>
      </c>
      <c r="B175" s="41"/>
      <c r="C175" s="41"/>
      <c r="D175" s="41"/>
      <c r="E175" s="41"/>
      <c r="F175" s="42"/>
    </row>
    <row r="176" ht="15.0" customHeight="1">
      <c r="A176" s="46" t="s">
        <v>899</v>
      </c>
      <c r="B176" s="41"/>
      <c r="C176" s="41"/>
      <c r="D176" s="41"/>
      <c r="E176" s="41"/>
      <c r="F176" s="42"/>
    </row>
    <row r="177" ht="15.75" customHeight="1">
      <c r="A177" s="43" t="s">
        <v>749</v>
      </c>
      <c r="B177" s="43" t="s">
        <v>750</v>
      </c>
      <c r="C177" s="43" t="s">
        <v>751</v>
      </c>
      <c r="D177" s="43" t="s">
        <v>752</v>
      </c>
      <c r="E177" s="43" t="s">
        <v>753</v>
      </c>
      <c r="F177" s="43" t="s">
        <v>754</v>
      </c>
      <c r="G177" s="43" t="s">
        <v>755</v>
      </c>
      <c r="H177" s="43" t="s">
        <v>756</v>
      </c>
      <c r="I177" s="43" t="s">
        <v>757</v>
      </c>
      <c r="J177" s="43" t="s">
        <v>758</v>
      </c>
      <c r="K177" s="43" t="s">
        <v>759</v>
      </c>
    </row>
    <row r="178" ht="15.75" customHeight="1">
      <c r="A178" s="45" t="s">
        <v>760</v>
      </c>
      <c r="B178" s="45" t="s">
        <v>108</v>
      </c>
      <c r="C178" s="47" t="s">
        <v>784</v>
      </c>
      <c r="D178" s="47"/>
      <c r="E178" s="45"/>
      <c r="F178" s="47" t="s">
        <v>762</v>
      </c>
      <c r="G178" s="47"/>
      <c r="H178" s="47" t="s">
        <v>762</v>
      </c>
      <c r="I178" s="47" t="s">
        <v>762</v>
      </c>
      <c r="J178" s="45"/>
      <c r="K178" s="45" t="s">
        <v>763</v>
      </c>
    </row>
    <row r="179" ht="15.75" customHeight="1">
      <c r="A179" s="45" t="s">
        <v>870</v>
      </c>
      <c r="B179" s="45" t="s">
        <v>871</v>
      </c>
      <c r="C179" s="47" t="s">
        <v>809</v>
      </c>
      <c r="D179" s="47"/>
      <c r="E179" s="45"/>
      <c r="F179" s="47"/>
      <c r="G179" s="47"/>
      <c r="H179" s="47"/>
      <c r="I179" s="47"/>
      <c r="J179" s="45" t="s">
        <v>872</v>
      </c>
      <c r="K179" s="45"/>
    </row>
    <row r="180" ht="15.75" customHeight="1">
      <c r="A180" s="45" t="s">
        <v>900</v>
      </c>
      <c r="B180" s="45" t="s">
        <v>901</v>
      </c>
      <c r="C180" s="47" t="s">
        <v>790</v>
      </c>
      <c r="D180" s="47"/>
      <c r="E180" s="45" t="s">
        <v>902</v>
      </c>
      <c r="F180" s="47"/>
      <c r="G180" s="47"/>
      <c r="H180" s="47"/>
      <c r="I180" s="47"/>
      <c r="J180" s="45"/>
      <c r="K180" s="45" t="s">
        <v>903</v>
      </c>
    </row>
    <row r="181" ht="15.75" customHeight="1">
      <c r="A181" s="45" t="s">
        <v>904</v>
      </c>
      <c r="B181" s="45" t="s">
        <v>905</v>
      </c>
      <c r="C181" s="47" t="s">
        <v>766</v>
      </c>
      <c r="D181" s="47" t="s">
        <v>820</v>
      </c>
      <c r="E181" s="45" t="s">
        <v>906</v>
      </c>
      <c r="F181" s="47"/>
      <c r="G181" s="47"/>
      <c r="H181" s="47"/>
      <c r="I181" s="47"/>
      <c r="J181" s="45"/>
      <c r="K181" s="45"/>
    </row>
    <row r="182" ht="15.75" customHeight="1">
      <c r="A182" s="45" t="s">
        <v>907</v>
      </c>
      <c r="B182" s="45" t="s">
        <v>908</v>
      </c>
      <c r="C182" s="47" t="s">
        <v>809</v>
      </c>
      <c r="D182" s="47"/>
      <c r="E182" s="45"/>
      <c r="F182" s="47"/>
      <c r="G182" s="47"/>
      <c r="H182" s="47"/>
      <c r="I182" s="47"/>
      <c r="J182" s="45"/>
      <c r="K182" s="45" t="s">
        <v>909</v>
      </c>
    </row>
    <row r="183" ht="15.75" customHeight="1">
      <c r="A183" s="45" t="s">
        <v>864</v>
      </c>
      <c r="B183" s="45" t="s">
        <v>865</v>
      </c>
      <c r="C183" s="47" t="s">
        <v>858</v>
      </c>
      <c r="D183" s="47"/>
      <c r="E183" s="45"/>
      <c r="F183" s="47"/>
      <c r="G183" s="47" t="s">
        <v>866</v>
      </c>
      <c r="H183" s="47"/>
      <c r="I183" s="47"/>
      <c r="J183" s="45"/>
      <c r="K183" s="45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</row>
    <row r="187" ht="15.0" customHeight="1">
      <c r="A187" s="40" t="s">
        <v>780</v>
      </c>
      <c r="B187" s="41"/>
      <c r="C187" s="41"/>
      <c r="D187" s="41"/>
      <c r="E187" s="41"/>
      <c r="F187" s="42"/>
    </row>
    <row r="188" ht="15.75" customHeight="1">
      <c r="A188" s="48" t="s">
        <v>910</v>
      </c>
      <c r="B188" s="49"/>
      <c r="C188" s="49"/>
      <c r="D188" s="49"/>
      <c r="E188" s="49"/>
      <c r="F188" s="50"/>
    </row>
    <row r="189" ht="15.75" customHeight="1">
      <c r="A189" s="51"/>
      <c r="F189" s="52"/>
    </row>
    <row r="190" ht="15.75" customHeight="1">
      <c r="A190" s="51"/>
      <c r="F190" s="52"/>
    </row>
    <row r="191" ht="15.75" customHeight="1">
      <c r="A191" s="51"/>
      <c r="F191" s="52"/>
    </row>
    <row r="192" ht="15.75" customHeight="1">
      <c r="A192" s="51"/>
      <c r="F192" s="52"/>
    </row>
    <row r="193" ht="15.75" customHeight="1">
      <c r="A193" s="51"/>
      <c r="F193" s="52"/>
    </row>
    <row r="194" ht="15.75" customHeight="1">
      <c r="A194" s="51"/>
      <c r="F194" s="52"/>
    </row>
    <row r="195" ht="15.75" customHeight="1">
      <c r="A195" s="53"/>
      <c r="B195" s="54"/>
      <c r="C195" s="54"/>
      <c r="D195" s="54"/>
      <c r="E195" s="54"/>
      <c r="F195" s="55"/>
    </row>
    <row r="196" ht="15.75" customHeight="1"/>
    <row r="197" ht="15.75" customHeight="1"/>
    <row r="198" ht="26.25" customHeight="1">
      <c r="A198" s="40" t="s">
        <v>742</v>
      </c>
      <c r="B198" s="41"/>
      <c r="C198" s="42"/>
      <c r="D198" s="43" t="s">
        <v>743</v>
      </c>
      <c r="E198" s="43" t="s">
        <v>744</v>
      </c>
      <c r="F198" s="43" t="s">
        <v>745</v>
      </c>
    </row>
    <row r="199" ht="15.0" customHeight="1">
      <c r="A199" s="44" t="s">
        <v>911</v>
      </c>
      <c r="B199" s="41"/>
      <c r="C199" s="42"/>
      <c r="D199" s="45"/>
      <c r="E199" s="45"/>
      <c r="F199" s="45"/>
    </row>
    <row r="200" ht="15.0" customHeight="1">
      <c r="A200" s="40" t="s">
        <v>747</v>
      </c>
      <c r="B200" s="41"/>
      <c r="C200" s="41"/>
      <c r="D200" s="41"/>
      <c r="E200" s="41"/>
      <c r="F200" s="42"/>
    </row>
    <row r="201" ht="15.0" customHeight="1">
      <c r="A201" s="46" t="s">
        <v>912</v>
      </c>
      <c r="B201" s="41"/>
      <c r="C201" s="41"/>
      <c r="D201" s="41"/>
      <c r="E201" s="41"/>
      <c r="F201" s="42"/>
    </row>
    <row r="202" ht="15.75" customHeight="1">
      <c r="A202" s="43" t="s">
        <v>749</v>
      </c>
      <c r="B202" s="43" t="s">
        <v>750</v>
      </c>
      <c r="C202" s="43" t="s">
        <v>751</v>
      </c>
      <c r="D202" s="43" t="s">
        <v>752</v>
      </c>
      <c r="E202" s="43" t="s">
        <v>753</v>
      </c>
      <c r="F202" s="43" t="s">
        <v>754</v>
      </c>
      <c r="G202" s="43" t="s">
        <v>755</v>
      </c>
      <c r="H202" s="43" t="s">
        <v>756</v>
      </c>
      <c r="I202" s="43" t="s">
        <v>757</v>
      </c>
      <c r="J202" s="43" t="s">
        <v>758</v>
      </c>
      <c r="K202" s="43" t="s">
        <v>759</v>
      </c>
    </row>
    <row r="203" ht="15.75" customHeight="1">
      <c r="A203" s="45" t="s">
        <v>760</v>
      </c>
      <c r="B203" s="45" t="s">
        <v>108</v>
      </c>
      <c r="C203" s="47" t="s">
        <v>784</v>
      </c>
      <c r="D203" s="47"/>
      <c r="E203" s="45"/>
      <c r="F203" s="47" t="s">
        <v>762</v>
      </c>
      <c r="G203" s="47"/>
      <c r="H203" s="47" t="s">
        <v>762</v>
      </c>
      <c r="I203" s="47" t="s">
        <v>762</v>
      </c>
      <c r="J203" s="45"/>
      <c r="K203" s="45" t="s">
        <v>763</v>
      </c>
    </row>
    <row r="204" ht="15.75" customHeight="1">
      <c r="A204" s="45" t="s">
        <v>870</v>
      </c>
      <c r="B204" s="45" t="s">
        <v>871</v>
      </c>
      <c r="C204" s="47" t="s">
        <v>809</v>
      </c>
      <c r="D204" s="47"/>
      <c r="E204" s="45"/>
      <c r="F204" s="47"/>
      <c r="G204" s="47"/>
      <c r="H204" s="47"/>
      <c r="I204" s="47"/>
      <c r="J204" s="45" t="s">
        <v>872</v>
      </c>
      <c r="K204" s="45"/>
    </row>
    <row r="205" ht="15.75" customHeight="1">
      <c r="A205" s="45" t="s">
        <v>913</v>
      </c>
      <c r="B205" s="45" t="s">
        <v>914</v>
      </c>
      <c r="C205" s="47" t="s">
        <v>766</v>
      </c>
      <c r="D205" s="47" t="s">
        <v>797</v>
      </c>
      <c r="E205" s="45" t="s">
        <v>915</v>
      </c>
      <c r="F205" s="47"/>
      <c r="G205" s="47"/>
      <c r="H205" s="47"/>
      <c r="I205" s="47"/>
      <c r="J205" s="45"/>
      <c r="K205" s="45" t="s">
        <v>916</v>
      </c>
    </row>
    <row r="206" ht="15.75" customHeight="1">
      <c r="A206" s="45" t="s">
        <v>917</v>
      </c>
      <c r="B206" s="45" t="s">
        <v>144</v>
      </c>
      <c r="C206" s="47" t="s">
        <v>766</v>
      </c>
      <c r="D206" s="47" t="s">
        <v>767</v>
      </c>
      <c r="E206" s="45" t="s">
        <v>918</v>
      </c>
      <c r="F206" s="47"/>
      <c r="G206" s="47"/>
      <c r="H206" s="47"/>
      <c r="I206" s="47"/>
      <c r="J206" s="45"/>
      <c r="K206" s="45"/>
    </row>
    <row r="207" ht="15.75" customHeight="1">
      <c r="A207" s="45" t="s">
        <v>919</v>
      </c>
      <c r="B207" s="45" t="s">
        <v>920</v>
      </c>
      <c r="C207" s="47" t="s">
        <v>858</v>
      </c>
      <c r="D207" s="47"/>
      <c r="E207" s="45"/>
      <c r="F207" s="47"/>
      <c r="G207" s="47"/>
      <c r="H207" s="47"/>
      <c r="I207" s="47"/>
      <c r="J207" s="45"/>
      <c r="K207" s="45"/>
    </row>
    <row r="208" ht="15.75" customHeight="1">
      <c r="A208" s="45" t="s">
        <v>864</v>
      </c>
      <c r="B208" s="45" t="s">
        <v>865</v>
      </c>
      <c r="C208" s="47" t="s">
        <v>858</v>
      </c>
      <c r="D208" s="47"/>
      <c r="E208" s="45"/>
      <c r="F208" s="47"/>
      <c r="G208" s="47" t="s">
        <v>866</v>
      </c>
      <c r="H208" s="47"/>
      <c r="I208" s="47"/>
      <c r="J208" s="45"/>
      <c r="K208" s="45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</row>
    <row r="212" ht="15.0" customHeight="1">
      <c r="A212" s="40" t="s">
        <v>780</v>
      </c>
      <c r="B212" s="41"/>
      <c r="C212" s="41"/>
      <c r="D212" s="41"/>
      <c r="E212" s="41"/>
      <c r="F212" s="42"/>
    </row>
    <row r="213" ht="15.75" customHeight="1">
      <c r="A213" s="48" t="s">
        <v>921</v>
      </c>
      <c r="B213" s="49"/>
      <c r="C213" s="49"/>
      <c r="D213" s="49"/>
      <c r="E213" s="49"/>
      <c r="F213" s="50"/>
    </row>
    <row r="214" ht="15.75" customHeight="1">
      <c r="A214" s="51"/>
      <c r="F214" s="52"/>
    </row>
    <row r="215" ht="15.75" customHeight="1">
      <c r="A215" s="51"/>
      <c r="F215" s="52"/>
    </row>
    <row r="216" ht="15.75" customHeight="1">
      <c r="A216" s="51"/>
      <c r="F216" s="52"/>
    </row>
    <row r="217" ht="15.75" customHeight="1">
      <c r="A217" s="51"/>
      <c r="F217" s="52"/>
    </row>
    <row r="218" ht="15.75" customHeight="1">
      <c r="A218" s="51"/>
      <c r="F218" s="52"/>
    </row>
    <row r="219" ht="15.75" customHeight="1">
      <c r="A219" s="51"/>
      <c r="F219" s="52"/>
    </row>
    <row r="220" ht="15.75" customHeight="1">
      <c r="A220" s="53"/>
      <c r="B220" s="54"/>
      <c r="C220" s="54"/>
      <c r="D220" s="54"/>
      <c r="E220" s="54"/>
      <c r="F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8">
    <mergeCell ref="A1:C1"/>
    <mergeCell ref="A2:C2"/>
    <mergeCell ref="A3:F3"/>
    <mergeCell ref="A4:F4"/>
    <mergeCell ref="A14:F14"/>
    <mergeCell ref="A15:F21"/>
    <mergeCell ref="A24:C24"/>
    <mergeCell ref="A25:C25"/>
    <mergeCell ref="A26:F26"/>
    <mergeCell ref="A27:F27"/>
    <mergeCell ref="A45:F45"/>
    <mergeCell ref="A46:F62"/>
    <mergeCell ref="A65:C65"/>
    <mergeCell ref="A66:C66"/>
    <mergeCell ref="A67:F67"/>
    <mergeCell ref="A68:F68"/>
    <mergeCell ref="A78:F78"/>
    <mergeCell ref="A79:F86"/>
    <mergeCell ref="A89:C89"/>
    <mergeCell ref="A90:C90"/>
    <mergeCell ref="A91:F91"/>
    <mergeCell ref="A92:F92"/>
    <mergeCell ref="A105:F105"/>
    <mergeCell ref="A106:F115"/>
    <mergeCell ref="A118:C118"/>
    <mergeCell ref="A119:C119"/>
    <mergeCell ref="A120:F120"/>
    <mergeCell ref="A121:F121"/>
    <mergeCell ref="A135:F135"/>
    <mergeCell ref="A136:F145"/>
    <mergeCell ref="A148:C148"/>
    <mergeCell ref="A149:C149"/>
    <mergeCell ref="A150:F150"/>
    <mergeCell ref="A151:F151"/>
    <mergeCell ref="A162:F162"/>
    <mergeCell ref="A198:C198"/>
    <mergeCell ref="A199:C199"/>
    <mergeCell ref="A200:F200"/>
    <mergeCell ref="A201:F201"/>
    <mergeCell ref="A212:F212"/>
    <mergeCell ref="A213:F220"/>
    <mergeCell ref="A163:F170"/>
    <mergeCell ref="A173:C173"/>
    <mergeCell ref="A174:C174"/>
    <mergeCell ref="A175:F175"/>
    <mergeCell ref="A176:F176"/>
    <mergeCell ref="A187:F187"/>
    <mergeCell ref="A188:F195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7.88"/>
    <col customWidth="1" min="2" max="2" width="7.0"/>
    <col customWidth="1" min="3" max="3" width="9.63"/>
    <col customWidth="1" min="4" max="4" width="43.75"/>
    <col customWidth="1" min="5" max="5" width="8.75"/>
    <col customWidth="1" min="6" max="6" width="28.0"/>
    <col customWidth="1" min="7" max="7" width="12.25"/>
    <col customWidth="1" min="8" max="8" width="7.88"/>
    <col customWidth="1" min="9" max="9" width="12.25"/>
    <col customWidth="1" min="10" max="10" width="9.38"/>
    <col customWidth="1" min="11" max="11" width="26.25"/>
    <col customWidth="1" min="12" max="26" width="7.63"/>
  </cols>
  <sheetData>
    <row r="1" ht="15.0" customHeight="1">
      <c r="A1" s="38" t="s">
        <v>922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4">
      <c r="A4" s="8" t="s">
        <v>923</v>
      </c>
      <c r="B4" s="8" t="s">
        <v>558</v>
      </c>
      <c r="C4" s="8" t="s">
        <v>242</v>
      </c>
      <c r="D4" s="8" t="s">
        <v>924</v>
      </c>
      <c r="E4" s="8" t="s">
        <v>925</v>
      </c>
      <c r="F4" s="8" t="s">
        <v>926</v>
      </c>
      <c r="G4" s="8" t="s">
        <v>927</v>
      </c>
      <c r="H4" s="8" t="s">
        <v>928</v>
      </c>
      <c r="I4" s="8" t="s">
        <v>144</v>
      </c>
      <c r="J4" s="8" t="s">
        <v>929</v>
      </c>
      <c r="K4" s="8" t="s">
        <v>145</v>
      </c>
    </row>
    <row r="5">
      <c r="A5" s="9" t="s">
        <v>930</v>
      </c>
      <c r="B5" s="9" t="s">
        <v>565</v>
      </c>
      <c r="C5" s="9" t="s">
        <v>931</v>
      </c>
      <c r="D5" s="9" t="s">
        <v>932</v>
      </c>
      <c r="E5" s="9" t="s">
        <v>933</v>
      </c>
      <c r="F5" s="9" t="s">
        <v>450</v>
      </c>
      <c r="G5" s="9" t="s">
        <v>155</v>
      </c>
      <c r="H5" s="9">
        <v>3.0</v>
      </c>
      <c r="I5" s="9" t="s">
        <v>149</v>
      </c>
      <c r="J5" s="9">
        <v>0.0</v>
      </c>
      <c r="K5" s="9"/>
    </row>
    <row r="6">
      <c r="A6" s="9" t="s">
        <v>934</v>
      </c>
      <c r="B6" s="9" t="s">
        <v>565</v>
      </c>
      <c r="C6" s="9" t="s">
        <v>931</v>
      </c>
      <c r="D6" s="9" t="s">
        <v>935</v>
      </c>
      <c r="E6" s="9" t="s">
        <v>933</v>
      </c>
      <c r="F6" s="9" t="s">
        <v>450</v>
      </c>
      <c r="G6" s="9" t="s">
        <v>155</v>
      </c>
      <c r="H6" s="9">
        <v>3.0</v>
      </c>
      <c r="I6" s="9" t="s">
        <v>149</v>
      </c>
      <c r="J6" s="9">
        <v>0.0</v>
      </c>
      <c r="K6" s="9"/>
    </row>
    <row r="7">
      <c r="A7" s="9" t="s">
        <v>936</v>
      </c>
      <c r="B7" s="9" t="s">
        <v>565</v>
      </c>
      <c r="C7" s="9" t="s">
        <v>931</v>
      </c>
      <c r="D7" s="9" t="s">
        <v>937</v>
      </c>
      <c r="E7" s="9" t="s">
        <v>933</v>
      </c>
      <c r="F7" s="9" t="s">
        <v>450</v>
      </c>
      <c r="G7" s="9" t="s">
        <v>155</v>
      </c>
      <c r="H7" s="9">
        <v>3.0</v>
      </c>
      <c r="I7" s="9" t="s">
        <v>149</v>
      </c>
      <c r="J7" s="9">
        <v>0.0</v>
      </c>
      <c r="K7" s="9"/>
    </row>
    <row r="8">
      <c r="A8" s="9" t="s">
        <v>938</v>
      </c>
      <c r="B8" s="9" t="s">
        <v>565</v>
      </c>
      <c r="C8" s="9" t="s">
        <v>939</v>
      </c>
      <c r="D8" s="9" t="s">
        <v>940</v>
      </c>
      <c r="E8" s="9" t="s">
        <v>941</v>
      </c>
      <c r="F8" s="9" t="s">
        <v>450</v>
      </c>
      <c r="G8" s="9" t="s">
        <v>155</v>
      </c>
      <c r="H8" s="9">
        <v>5.0</v>
      </c>
      <c r="I8" s="9" t="s">
        <v>149</v>
      </c>
      <c r="J8" s="9">
        <v>0.0</v>
      </c>
      <c r="K8" s="9"/>
    </row>
    <row r="9">
      <c r="A9" s="9" t="s">
        <v>942</v>
      </c>
      <c r="B9" s="9" t="s">
        <v>565</v>
      </c>
      <c r="C9" s="9" t="s">
        <v>943</v>
      </c>
      <c r="D9" s="9" t="s">
        <v>944</v>
      </c>
      <c r="E9" s="9" t="s">
        <v>941</v>
      </c>
      <c r="F9" s="9" t="s">
        <v>945</v>
      </c>
      <c r="G9" s="9" t="s">
        <v>155</v>
      </c>
      <c r="H9" s="9">
        <v>3.0</v>
      </c>
      <c r="I9" s="9" t="s">
        <v>149</v>
      </c>
      <c r="J9" s="9">
        <v>0.0</v>
      </c>
      <c r="K9" s="9"/>
    </row>
    <row r="10">
      <c r="A10" s="9" t="s">
        <v>946</v>
      </c>
      <c r="B10" s="9" t="s">
        <v>565</v>
      </c>
      <c r="C10" s="9" t="s">
        <v>943</v>
      </c>
      <c r="D10" s="9" t="s">
        <v>947</v>
      </c>
      <c r="E10" s="9" t="s">
        <v>941</v>
      </c>
      <c r="F10" s="9" t="s">
        <v>948</v>
      </c>
      <c r="G10" s="9" t="s">
        <v>155</v>
      </c>
      <c r="H10" s="9">
        <v>3.0</v>
      </c>
      <c r="I10" s="9" t="s">
        <v>149</v>
      </c>
      <c r="J10" s="9">
        <v>0.0</v>
      </c>
      <c r="K10" s="9"/>
    </row>
    <row r="11">
      <c r="A11" s="9" t="s">
        <v>949</v>
      </c>
      <c r="B11" s="9" t="s">
        <v>565</v>
      </c>
      <c r="C11" s="9" t="s">
        <v>943</v>
      </c>
      <c r="D11" s="9" t="s">
        <v>950</v>
      </c>
      <c r="E11" s="9" t="s">
        <v>941</v>
      </c>
      <c r="F11" s="9" t="s">
        <v>951</v>
      </c>
      <c r="G11" s="9" t="s">
        <v>155</v>
      </c>
      <c r="H11" s="9">
        <v>3.0</v>
      </c>
      <c r="I11" s="9" t="s">
        <v>149</v>
      </c>
      <c r="J11" s="9">
        <v>0.0</v>
      </c>
      <c r="K11" s="9"/>
    </row>
    <row r="12">
      <c r="A12" s="9" t="s">
        <v>952</v>
      </c>
      <c r="B12" s="9" t="s">
        <v>565</v>
      </c>
      <c r="C12" s="9" t="s">
        <v>953</v>
      </c>
      <c r="D12" s="9" t="s">
        <v>954</v>
      </c>
      <c r="E12" s="9" t="s">
        <v>955</v>
      </c>
      <c r="F12" s="9" t="s">
        <v>402</v>
      </c>
      <c r="G12" s="9" t="s">
        <v>162</v>
      </c>
      <c r="H12" s="9">
        <v>3.0</v>
      </c>
      <c r="I12" s="9" t="s">
        <v>149</v>
      </c>
      <c r="J12" s="9">
        <v>0.0</v>
      </c>
      <c r="K12" s="9"/>
    </row>
    <row r="13">
      <c r="A13" s="9" t="s">
        <v>956</v>
      </c>
      <c r="B13" s="9" t="s">
        <v>565</v>
      </c>
      <c r="C13" s="9" t="s">
        <v>953</v>
      </c>
      <c r="D13" s="9" t="s">
        <v>957</v>
      </c>
      <c r="E13" s="9" t="s">
        <v>955</v>
      </c>
      <c r="F13" s="9" t="s">
        <v>958</v>
      </c>
      <c r="G13" s="9" t="s">
        <v>162</v>
      </c>
      <c r="H13" s="9">
        <v>3.0</v>
      </c>
      <c r="I13" s="9" t="s">
        <v>149</v>
      </c>
      <c r="J13" s="9">
        <v>0.0</v>
      </c>
      <c r="K13" s="9"/>
    </row>
    <row r="14">
      <c r="A14" s="9" t="s">
        <v>959</v>
      </c>
      <c r="B14" s="9" t="s">
        <v>565</v>
      </c>
      <c r="C14" s="9" t="s">
        <v>477</v>
      </c>
      <c r="D14" s="9" t="s">
        <v>960</v>
      </c>
      <c r="E14" s="9" t="s">
        <v>941</v>
      </c>
      <c r="F14" s="9" t="s">
        <v>476</v>
      </c>
      <c r="G14" s="9" t="s">
        <v>155</v>
      </c>
      <c r="H14" s="9">
        <v>5.0</v>
      </c>
      <c r="I14" s="9" t="s">
        <v>149</v>
      </c>
      <c r="J14" s="9">
        <v>0.0</v>
      </c>
      <c r="K14" s="9" t="s">
        <v>961</v>
      </c>
    </row>
    <row r="15">
      <c r="A15" s="9" t="s">
        <v>962</v>
      </c>
      <c r="B15" s="9" t="s">
        <v>565</v>
      </c>
      <c r="C15" s="9" t="s">
        <v>477</v>
      </c>
      <c r="D15" s="9" t="s">
        <v>963</v>
      </c>
      <c r="E15" s="9" t="s">
        <v>941</v>
      </c>
      <c r="F15" s="9" t="s">
        <v>476</v>
      </c>
      <c r="G15" s="9" t="s">
        <v>155</v>
      </c>
      <c r="H15" s="9">
        <v>3.0</v>
      </c>
      <c r="I15" s="9" t="s">
        <v>149</v>
      </c>
      <c r="J15" s="9">
        <v>0.0</v>
      </c>
      <c r="K15" s="9" t="s">
        <v>964</v>
      </c>
    </row>
    <row r="16">
      <c r="A16" s="9" t="s">
        <v>965</v>
      </c>
      <c r="B16" s="9" t="s">
        <v>565</v>
      </c>
      <c r="C16" s="9" t="s">
        <v>369</v>
      </c>
      <c r="D16" s="9" t="s">
        <v>966</v>
      </c>
      <c r="E16" s="9" t="s">
        <v>941</v>
      </c>
      <c r="F16" s="9" t="s">
        <v>967</v>
      </c>
      <c r="G16" s="9" t="s">
        <v>155</v>
      </c>
      <c r="H16" s="9">
        <v>3.0</v>
      </c>
      <c r="I16" s="9" t="s">
        <v>149</v>
      </c>
      <c r="J16" s="9">
        <v>0.0</v>
      </c>
      <c r="K16" s="9"/>
    </row>
    <row r="17">
      <c r="A17" s="9" t="s">
        <v>968</v>
      </c>
      <c r="B17" s="9" t="s">
        <v>565</v>
      </c>
      <c r="C17" s="9" t="s">
        <v>369</v>
      </c>
      <c r="D17" s="9" t="s">
        <v>969</v>
      </c>
      <c r="E17" s="9" t="s">
        <v>955</v>
      </c>
      <c r="F17" s="9" t="s">
        <v>378</v>
      </c>
      <c r="G17" s="9" t="s">
        <v>162</v>
      </c>
      <c r="H17" s="9">
        <v>3.0</v>
      </c>
      <c r="I17" s="9" t="s">
        <v>149</v>
      </c>
      <c r="J17" s="9">
        <v>0.0</v>
      </c>
      <c r="K17" s="9"/>
    </row>
    <row r="18">
      <c r="A18" s="9" t="s">
        <v>970</v>
      </c>
      <c r="B18" s="9" t="s">
        <v>565</v>
      </c>
      <c r="C18" s="9" t="s">
        <v>971</v>
      </c>
      <c r="D18" s="9" t="s">
        <v>972</v>
      </c>
      <c r="E18" s="9" t="s">
        <v>249</v>
      </c>
      <c r="F18" s="9" t="s">
        <v>450</v>
      </c>
      <c r="G18" s="9" t="s">
        <v>180</v>
      </c>
      <c r="H18" s="9">
        <v>3.0</v>
      </c>
      <c r="I18" s="9" t="s">
        <v>149</v>
      </c>
      <c r="J18" s="9">
        <v>0.0</v>
      </c>
      <c r="K18" s="9" t="s">
        <v>973</v>
      </c>
    </row>
    <row r="19">
      <c r="A19" s="9" t="s">
        <v>974</v>
      </c>
      <c r="B19" s="9" t="s">
        <v>565</v>
      </c>
      <c r="C19" s="9" t="s">
        <v>971</v>
      </c>
      <c r="D19" s="9" t="s">
        <v>975</v>
      </c>
      <c r="E19" s="9" t="s">
        <v>249</v>
      </c>
      <c r="F19" s="9" t="s">
        <v>450</v>
      </c>
      <c r="G19" s="9" t="s">
        <v>186</v>
      </c>
      <c r="H19" s="9">
        <v>3.0</v>
      </c>
      <c r="I19" s="9" t="s">
        <v>149</v>
      </c>
      <c r="J19" s="9">
        <v>0.0</v>
      </c>
      <c r="K19" s="10" t="s">
        <v>976</v>
      </c>
    </row>
    <row r="20">
      <c r="A20" s="9" t="s">
        <v>977</v>
      </c>
      <c r="B20" s="9" t="s">
        <v>565</v>
      </c>
      <c r="C20" s="9" t="s">
        <v>971</v>
      </c>
      <c r="D20" s="9" t="s">
        <v>978</v>
      </c>
      <c r="E20" s="9" t="s">
        <v>249</v>
      </c>
      <c r="F20" s="9" t="s">
        <v>450</v>
      </c>
      <c r="G20" s="9" t="s">
        <v>188</v>
      </c>
      <c r="H20" s="9">
        <v>2.0</v>
      </c>
      <c r="I20" s="9" t="s">
        <v>149</v>
      </c>
      <c r="J20" s="9">
        <v>0.0</v>
      </c>
      <c r="K20" s="9" t="s">
        <v>979</v>
      </c>
    </row>
    <row r="21" ht="15.75" customHeight="1">
      <c r="A21" s="9" t="s">
        <v>980</v>
      </c>
      <c r="B21" s="9" t="s">
        <v>565</v>
      </c>
      <c r="C21" s="9" t="s">
        <v>971</v>
      </c>
      <c r="D21" s="9" t="s">
        <v>981</v>
      </c>
      <c r="E21" s="9" t="s">
        <v>249</v>
      </c>
      <c r="F21" s="9" t="s">
        <v>982</v>
      </c>
      <c r="G21" s="9" t="s">
        <v>155</v>
      </c>
      <c r="H21" s="9">
        <v>2.0</v>
      </c>
      <c r="I21" s="9" t="s">
        <v>149</v>
      </c>
      <c r="J21" s="9">
        <v>0.0</v>
      </c>
      <c r="K21" s="9" t="s">
        <v>983</v>
      </c>
    </row>
    <row r="22" ht="15.75" customHeight="1">
      <c r="A22" s="9" t="s">
        <v>984</v>
      </c>
      <c r="B22" s="9" t="s">
        <v>565</v>
      </c>
      <c r="C22" s="9" t="s">
        <v>971</v>
      </c>
      <c r="D22" s="9" t="s">
        <v>985</v>
      </c>
      <c r="E22" s="9" t="s">
        <v>249</v>
      </c>
      <c r="F22" s="9" t="s">
        <v>986</v>
      </c>
      <c r="G22" s="9" t="s">
        <v>186</v>
      </c>
      <c r="H22" s="9">
        <v>2.0</v>
      </c>
      <c r="I22" s="9" t="s">
        <v>149</v>
      </c>
      <c r="J22" s="9">
        <v>0.0</v>
      </c>
      <c r="K22" s="9"/>
    </row>
    <row r="23" ht="15.75" customHeight="1">
      <c r="A23" s="9" t="s">
        <v>987</v>
      </c>
      <c r="B23" s="9" t="s">
        <v>565</v>
      </c>
      <c r="C23" s="9" t="s">
        <v>971</v>
      </c>
      <c r="D23" s="9" t="s">
        <v>988</v>
      </c>
      <c r="E23" s="9" t="s">
        <v>249</v>
      </c>
      <c r="F23" s="9" t="s">
        <v>450</v>
      </c>
      <c r="G23" s="9" t="s">
        <v>188</v>
      </c>
      <c r="H23" s="9">
        <v>2.0</v>
      </c>
      <c r="I23" s="9" t="s">
        <v>149</v>
      </c>
      <c r="J23" s="9">
        <v>0.0</v>
      </c>
      <c r="K23" s="9"/>
    </row>
    <row r="24" ht="15.75" customHeight="1">
      <c r="A24" s="9" t="s">
        <v>989</v>
      </c>
      <c r="B24" s="9" t="s">
        <v>632</v>
      </c>
      <c r="C24" s="9" t="s">
        <v>990</v>
      </c>
      <c r="D24" s="9" t="s">
        <v>991</v>
      </c>
      <c r="E24" s="9" t="s">
        <v>941</v>
      </c>
      <c r="F24" s="9" t="s">
        <v>992</v>
      </c>
      <c r="G24" s="9" t="s">
        <v>155</v>
      </c>
      <c r="H24" s="9">
        <v>3.0</v>
      </c>
      <c r="I24" s="9" t="s">
        <v>149</v>
      </c>
      <c r="J24" s="9">
        <v>0.0</v>
      </c>
      <c r="K24" s="9"/>
    </row>
    <row r="25" ht="15.75" customHeight="1">
      <c r="A25" s="9" t="s">
        <v>993</v>
      </c>
      <c r="B25" s="9" t="s">
        <v>632</v>
      </c>
      <c r="C25" s="9" t="s">
        <v>990</v>
      </c>
      <c r="D25" s="9" t="s">
        <v>994</v>
      </c>
      <c r="E25" s="9" t="s">
        <v>941</v>
      </c>
      <c r="F25" s="9" t="s">
        <v>995</v>
      </c>
      <c r="G25" s="9" t="s">
        <v>155</v>
      </c>
      <c r="H25" s="9">
        <v>3.0</v>
      </c>
      <c r="I25" s="9" t="s">
        <v>149</v>
      </c>
      <c r="J25" s="9">
        <v>0.0</v>
      </c>
      <c r="K25" s="9"/>
    </row>
    <row r="26" ht="15.75" customHeight="1">
      <c r="A26" s="9" t="s">
        <v>996</v>
      </c>
      <c r="B26" s="9" t="s">
        <v>632</v>
      </c>
      <c r="C26" s="9" t="s">
        <v>990</v>
      </c>
      <c r="D26" s="9" t="s">
        <v>997</v>
      </c>
      <c r="E26" s="9" t="s">
        <v>941</v>
      </c>
      <c r="F26" s="9" t="s">
        <v>486</v>
      </c>
      <c r="G26" s="9" t="s">
        <v>155</v>
      </c>
      <c r="H26" s="9">
        <v>3.0</v>
      </c>
      <c r="I26" s="9" t="s">
        <v>149</v>
      </c>
      <c r="J26" s="9">
        <v>0.0</v>
      </c>
      <c r="K26" s="9"/>
    </row>
    <row r="27" ht="15.75" customHeight="1">
      <c r="A27" s="9" t="s">
        <v>998</v>
      </c>
      <c r="B27" s="9" t="s">
        <v>632</v>
      </c>
      <c r="C27" s="9" t="s">
        <v>999</v>
      </c>
      <c r="D27" s="9" t="s">
        <v>1000</v>
      </c>
      <c r="E27" s="9" t="s">
        <v>955</v>
      </c>
      <c r="F27" s="9" t="s">
        <v>285</v>
      </c>
      <c r="G27" s="9" t="s">
        <v>162</v>
      </c>
      <c r="H27" s="9">
        <v>5.0</v>
      </c>
      <c r="I27" s="9" t="s">
        <v>149</v>
      </c>
      <c r="J27" s="9">
        <v>0.0</v>
      </c>
      <c r="K27" s="9"/>
    </row>
    <row r="28" ht="15.75" customHeight="1">
      <c r="A28" s="9" t="s">
        <v>1001</v>
      </c>
      <c r="B28" s="9" t="s">
        <v>632</v>
      </c>
      <c r="C28" s="9" t="s">
        <v>999</v>
      </c>
      <c r="D28" s="9" t="s">
        <v>1002</v>
      </c>
      <c r="E28" s="9" t="s">
        <v>955</v>
      </c>
      <c r="F28" s="9" t="s">
        <v>1003</v>
      </c>
      <c r="G28" s="9" t="s">
        <v>162</v>
      </c>
      <c r="H28" s="9">
        <v>3.0</v>
      </c>
      <c r="I28" s="9" t="s">
        <v>149</v>
      </c>
      <c r="J28" s="9">
        <v>0.0</v>
      </c>
      <c r="K28" s="9"/>
    </row>
    <row r="29" ht="15.75" customHeight="1">
      <c r="A29" s="9" t="s">
        <v>1004</v>
      </c>
      <c r="B29" s="9" t="s">
        <v>632</v>
      </c>
      <c r="C29" s="9" t="s">
        <v>999</v>
      </c>
      <c r="D29" s="9" t="s">
        <v>1005</v>
      </c>
      <c r="E29" s="9" t="s">
        <v>1006</v>
      </c>
      <c r="F29" s="9" t="s">
        <v>423</v>
      </c>
      <c r="G29" s="9" t="s">
        <v>159</v>
      </c>
      <c r="H29" s="9">
        <v>2.0</v>
      </c>
      <c r="I29" s="9" t="s">
        <v>149</v>
      </c>
      <c r="J29" s="9">
        <v>0.0</v>
      </c>
      <c r="K29" s="9"/>
    </row>
    <row r="30" ht="15.75" customHeight="1">
      <c r="A30" s="9" t="s">
        <v>1007</v>
      </c>
      <c r="B30" s="9" t="s">
        <v>632</v>
      </c>
      <c r="C30" s="9" t="s">
        <v>1008</v>
      </c>
      <c r="D30" s="9" t="s">
        <v>1009</v>
      </c>
      <c r="E30" s="9" t="s">
        <v>941</v>
      </c>
      <c r="F30" s="9" t="s">
        <v>1010</v>
      </c>
      <c r="G30" s="9" t="s">
        <v>155</v>
      </c>
      <c r="H30" s="9">
        <v>5.0</v>
      </c>
      <c r="I30" s="9" t="s">
        <v>149</v>
      </c>
      <c r="J30" s="9">
        <v>0.0</v>
      </c>
      <c r="K30" s="9" t="s">
        <v>1011</v>
      </c>
    </row>
    <row r="31" ht="15.75" customHeight="1">
      <c r="A31" s="9" t="s">
        <v>1012</v>
      </c>
      <c r="B31" s="9" t="s">
        <v>632</v>
      </c>
      <c r="C31" s="9" t="s">
        <v>1008</v>
      </c>
      <c r="D31" s="9" t="s">
        <v>1013</v>
      </c>
      <c r="E31" s="9" t="s">
        <v>941</v>
      </c>
      <c r="F31" s="9" t="s">
        <v>447</v>
      </c>
      <c r="G31" s="9" t="s">
        <v>155</v>
      </c>
      <c r="H31" s="9">
        <v>3.0</v>
      </c>
      <c r="I31" s="9" t="s">
        <v>149</v>
      </c>
      <c r="J31" s="9">
        <v>0.0</v>
      </c>
      <c r="K31" s="9"/>
    </row>
    <row r="32" ht="15.75" customHeight="1">
      <c r="A32" s="9" t="s">
        <v>1014</v>
      </c>
      <c r="B32" s="9" t="s">
        <v>632</v>
      </c>
      <c r="C32" s="9" t="s">
        <v>1015</v>
      </c>
      <c r="D32" s="9" t="s">
        <v>1016</v>
      </c>
      <c r="E32" s="9" t="s">
        <v>955</v>
      </c>
      <c r="F32" s="9" t="s">
        <v>436</v>
      </c>
      <c r="G32" s="9" t="s">
        <v>162</v>
      </c>
      <c r="H32" s="9">
        <v>5.0</v>
      </c>
      <c r="I32" s="9" t="s">
        <v>149</v>
      </c>
      <c r="J32" s="9">
        <v>0.0</v>
      </c>
      <c r="K32" s="9" t="s">
        <v>1017</v>
      </c>
    </row>
    <row r="33" ht="15.75" customHeight="1">
      <c r="A33" s="9" t="s">
        <v>1018</v>
      </c>
      <c r="B33" s="9" t="s">
        <v>632</v>
      </c>
      <c r="C33" s="9" t="s">
        <v>1015</v>
      </c>
      <c r="D33" s="9" t="s">
        <v>1019</v>
      </c>
      <c r="E33" s="9" t="s">
        <v>955</v>
      </c>
      <c r="F33" s="9" t="s">
        <v>1020</v>
      </c>
      <c r="G33" s="9" t="s">
        <v>162</v>
      </c>
      <c r="H33" s="9">
        <v>2.0</v>
      </c>
      <c r="I33" s="9" t="s">
        <v>149</v>
      </c>
      <c r="J33" s="9">
        <v>0.0</v>
      </c>
      <c r="K33" s="9"/>
    </row>
    <row r="34" ht="15.75" customHeight="1">
      <c r="A34" s="9" t="s">
        <v>1021</v>
      </c>
      <c r="B34" s="9" t="s">
        <v>632</v>
      </c>
      <c r="C34" s="9" t="s">
        <v>971</v>
      </c>
      <c r="D34" s="9" t="s">
        <v>1022</v>
      </c>
      <c r="E34" s="9" t="s">
        <v>249</v>
      </c>
      <c r="F34" s="9" t="s">
        <v>1023</v>
      </c>
      <c r="G34" s="9" t="s">
        <v>155</v>
      </c>
      <c r="H34" s="9">
        <v>3.0</v>
      </c>
      <c r="I34" s="9" t="s">
        <v>149</v>
      </c>
      <c r="J34" s="9">
        <v>0.0</v>
      </c>
      <c r="K34" s="9" t="s">
        <v>1024</v>
      </c>
    </row>
    <row r="35" ht="15.75" customHeight="1">
      <c r="A35" s="9" t="s">
        <v>1025</v>
      </c>
      <c r="B35" s="9" t="s">
        <v>632</v>
      </c>
      <c r="C35" s="9" t="s">
        <v>971</v>
      </c>
      <c r="D35" s="9" t="s">
        <v>1026</v>
      </c>
      <c r="E35" s="9" t="s">
        <v>249</v>
      </c>
      <c r="F35" s="9" t="s">
        <v>1027</v>
      </c>
      <c r="G35" s="9" t="s">
        <v>186</v>
      </c>
      <c r="H35" s="9">
        <v>3.0</v>
      </c>
      <c r="I35" s="9" t="s">
        <v>149</v>
      </c>
      <c r="J35" s="9">
        <v>0.0</v>
      </c>
      <c r="K35" s="9" t="s">
        <v>1028</v>
      </c>
    </row>
    <row r="36" ht="15.75" customHeight="1">
      <c r="A36" s="9" t="s">
        <v>1029</v>
      </c>
      <c r="B36" s="9" t="s">
        <v>632</v>
      </c>
      <c r="C36" s="9" t="s">
        <v>971</v>
      </c>
      <c r="D36" s="9" t="s">
        <v>1030</v>
      </c>
      <c r="E36" s="9" t="s">
        <v>249</v>
      </c>
      <c r="F36" s="9" t="s">
        <v>1031</v>
      </c>
      <c r="G36" s="9" t="s">
        <v>188</v>
      </c>
      <c r="H36" s="9">
        <v>2.0</v>
      </c>
      <c r="I36" s="9" t="s">
        <v>149</v>
      </c>
      <c r="J36" s="9">
        <v>0.0</v>
      </c>
      <c r="K36" s="9"/>
    </row>
    <row r="37" ht="15.75" customHeight="1">
      <c r="A37" s="9" t="s">
        <v>1032</v>
      </c>
      <c r="B37" s="9" t="s">
        <v>632</v>
      </c>
      <c r="C37" s="9" t="s">
        <v>971</v>
      </c>
      <c r="D37" s="9" t="s">
        <v>1033</v>
      </c>
      <c r="E37" s="9" t="s">
        <v>249</v>
      </c>
      <c r="F37" s="9" t="s">
        <v>1034</v>
      </c>
      <c r="G37" s="9" t="s">
        <v>188</v>
      </c>
      <c r="H37" s="9">
        <v>3.0</v>
      </c>
      <c r="I37" s="9" t="s">
        <v>149</v>
      </c>
      <c r="J37" s="9">
        <v>0.0</v>
      </c>
      <c r="K37" s="9"/>
    </row>
    <row r="38" ht="15.75" customHeight="1">
      <c r="A38" s="9" t="s">
        <v>1035</v>
      </c>
      <c r="B38" s="9" t="s">
        <v>632</v>
      </c>
      <c r="C38" s="9" t="s">
        <v>971</v>
      </c>
      <c r="D38" s="9" t="s">
        <v>1036</v>
      </c>
      <c r="E38" s="9" t="s">
        <v>249</v>
      </c>
      <c r="F38" s="9" t="s">
        <v>1037</v>
      </c>
      <c r="G38" s="9" t="s">
        <v>188</v>
      </c>
      <c r="H38" s="9">
        <v>2.0</v>
      </c>
      <c r="I38" s="9" t="s">
        <v>149</v>
      </c>
      <c r="J38" s="9">
        <v>0.0</v>
      </c>
      <c r="K38" s="9"/>
    </row>
    <row r="39" ht="15.75" customHeight="1">
      <c r="A39" s="9" t="s">
        <v>1038</v>
      </c>
      <c r="B39" s="9" t="s">
        <v>632</v>
      </c>
      <c r="C39" s="9" t="s">
        <v>971</v>
      </c>
      <c r="D39" s="9" t="s">
        <v>1039</v>
      </c>
      <c r="E39" s="9" t="s">
        <v>249</v>
      </c>
      <c r="F39" s="9" t="s">
        <v>450</v>
      </c>
      <c r="G39" s="9" t="s">
        <v>34</v>
      </c>
      <c r="H39" s="9">
        <v>3.0</v>
      </c>
      <c r="I39" s="9" t="s">
        <v>149</v>
      </c>
      <c r="J39" s="9">
        <v>0.0</v>
      </c>
      <c r="K39" s="9" t="s">
        <v>1040</v>
      </c>
    </row>
    <row r="40" ht="15.75" customHeight="1">
      <c r="A40" s="9" t="s">
        <v>1041</v>
      </c>
      <c r="B40" s="9" t="s">
        <v>632</v>
      </c>
      <c r="C40" s="9" t="s">
        <v>1042</v>
      </c>
      <c r="D40" s="9" t="s">
        <v>1043</v>
      </c>
      <c r="E40" s="9" t="s">
        <v>168</v>
      </c>
      <c r="F40" s="9" t="s">
        <v>450</v>
      </c>
      <c r="G40" s="9" t="s">
        <v>168</v>
      </c>
      <c r="H40" s="9">
        <v>2.0</v>
      </c>
      <c r="I40" s="9" t="s">
        <v>149</v>
      </c>
      <c r="J40" s="9">
        <v>0.0</v>
      </c>
      <c r="K40" s="9" t="s">
        <v>1044</v>
      </c>
    </row>
    <row r="41" ht="15.75" customHeight="1">
      <c r="A41" s="9" t="s">
        <v>1045</v>
      </c>
      <c r="B41" s="9" t="s">
        <v>601</v>
      </c>
      <c r="C41" s="9" t="s">
        <v>299</v>
      </c>
      <c r="D41" s="9" t="s">
        <v>1046</v>
      </c>
      <c r="E41" s="9" t="s">
        <v>1006</v>
      </c>
      <c r="F41" s="9" t="s">
        <v>1047</v>
      </c>
      <c r="G41" s="9" t="s">
        <v>159</v>
      </c>
      <c r="H41" s="9">
        <v>5.0</v>
      </c>
      <c r="I41" s="9" t="s">
        <v>149</v>
      </c>
      <c r="J41" s="9">
        <v>0.0</v>
      </c>
      <c r="K41" s="9"/>
    </row>
    <row r="42" ht="15.75" customHeight="1">
      <c r="A42" s="9" t="s">
        <v>1048</v>
      </c>
      <c r="B42" s="9" t="s">
        <v>601</v>
      </c>
      <c r="C42" s="9" t="s">
        <v>310</v>
      </c>
      <c r="D42" s="9" t="s">
        <v>1049</v>
      </c>
      <c r="E42" s="9" t="s">
        <v>1006</v>
      </c>
      <c r="F42" s="9" t="s">
        <v>1050</v>
      </c>
      <c r="G42" s="9" t="s">
        <v>159</v>
      </c>
      <c r="H42" s="9">
        <v>5.0</v>
      </c>
      <c r="I42" s="9" t="s">
        <v>149</v>
      </c>
      <c r="J42" s="9">
        <v>0.0</v>
      </c>
      <c r="K42" s="9"/>
    </row>
    <row r="43" ht="15.75" customHeight="1">
      <c r="A43" s="9" t="s">
        <v>1051</v>
      </c>
      <c r="B43" s="9" t="s">
        <v>601</v>
      </c>
      <c r="C43" s="9" t="s">
        <v>664</v>
      </c>
      <c r="D43" s="9" t="s">
        <v>1052</v>
      </c>
      <c r="E43" s="9" t="s">
        <v>1006</v>
      </c>
      <c r="F43" s="9" t="s">
        <v>1053</v>
      </c>
      <c r="G43" s="9" t="s">
        <v>159</v>
      </c>
      <c r="H43" s="9">
        <v>5.0</v>
      </c>
      <c r="I43" s="9" t="s">
        <v>149</v>
      </c>
      <c r="J43" s="9">
        <v>0.0</v>
      </c>
      <c r="K43" s="9"/>
    </row>
    <row r="44" ht="15.75" customHeight="1">
      <c r="A44" s="9" t="s">
        <v>1054</v>
      </c>
      <c r="B44" s="9" t="s">
        <v>601</v>
      </c>
      <c r="C44" s="9" t="s">
        <v>1055</v>
      </c>
      <c r="D44" s="9" t="s">
        <v>1056</v>
      </c>
      <c r="E44" s="9" t="s">
        <v>1006</v>
      </c>
      <c r="F44" s="9" t="s">
        <v>1057</v>
      </c>
      <c r="G44" s="9" t="s">
        <v>159</v>
      </c>
      <c r="H44" s="9">
        <v>3.0</v>
      </c>
      <c r="I44" s="9" t="s">
        <v>149</v>
      </c>
      <c r="J44" s="9">
        <v>0.0</v>
      </c>
      <c r="K44" s="9"/>
    </row>
    <row r="45" ht="15.75" customHeight="1">
      <c r="A45" s="9" t="s">
        <v>1058</v>
      </c>
      <c r="B45" s="9" t="s">
        <v>601</v>
      </c>
      <c r="C45" s="9" t="s">
        <v>1059</v>
      </c>
      <c r="D45" s="9" t="s">
        <v>1060</v>
      </c>
      <c r="E45" s="9" t="s">
        <v>941</v>
      </c>
      <c r="F45" s="9" t="s">
        <v>1061</v>
      </c>
      <c r="G45" s="9" t="s">
        <v>155</v>
      </c>
      <c r="H45" s="9">
        <v>5.0</v>
      </c>
      <c r="I45" s="9" t="s">
        <v>149</v>
      </c>
      <c r="J45" s="9">
        <v>0.0</v>
      </c>
      <c r="K45" s="9"/>
    </row>
    <row r="46" ht="15.75" customHeight="1">
      <c r="A46" s="9" t="s">
        <v>1062</v>
      </c>
      <c r="B46" s="9" t="s">
        <v>601</v>
      </c>
      <c r="C46" s="9" t="s">
        <v>1063</v>
      </c>
      <c r="D46" s="9" t="s">
        <v>1064</v>
      </c>
      <c r="E46" s="9" t="s">
        <v>955</v>
      </c>
      <c r="F46" s="9" t="s">
        <v>1065</v>
      </c>
      <c r="G46" s="9" t="s">
        <v>162</v>
      </c>
      <c r="H46" s="9">
        <v>5.0</v>
      </c>
      <c r="I46" s="9" t="s">
        <v>149</v>
      </c>
      <c r="J46" s="9">
        <v>0.0</v>
      </c>
      <c r="K46" s="9"/>
    </row>
    <row r="47" ht="15.75" customHeight="1">
      <c r="A47" s="9" t="s">
        <v>1066</v>
      </c>
      <c r="B47" s="9" t="s">
        <v>601</v>
      </c>
      <c r="C47" s="9" t="s">
        <v>1063</v>
      </c>
      <c r="D47" s="9" t="s">
        <v>1067</v>
      </c>
      <c r="E47" s="9" t="s">
        <v>955</v>
      </c>
      <c r="F47" s="9" t="s">
        <v>1068</v>
      </c>
      <c r="G47" s="9" t="s">
        <v>162</v>
      </c>
      <c r="H47" s="9">
        <v>3.0</v>
      </c>
      <c r="I47" s="9" t="s">
        <v>149</v>
      </c>
      <c r="J47" s="9">
        <v>0.0</v>
      </c>
      <c r="K47" s="9"/>
    </row>
    <row r="48" ht="15.75" customHeight="1">
      <c r="A48" s="9" t="s">
        <v>1069</v>
      </c>
      <c r="B48" s="9" t="s">
        <v>601</v>
      </c>
      <c r="C48" s="9" t="s">
        <v>611</v>
      </c>
      <c r="D48" s="9" t="s">
        <v>1070</v>
      </c>
      <c r="E48" s="9" t="s">
        <v>955</v>
      </c>
      <c r="F48" s="9" t="s">
        <v>1071</v>
      </c>
      <c r="G48" s="9" t="s">
        <v>162</v>
      </c>
      <c r="H48" s="9">
        <v>3.0</v>
      </c>
      <c r="I48" s="9" t="s">
        <v>149</v>
      </c>
      <c r="J48" s="9">
        <v>0.0</v>
      </c>
      <c r="K48" s="9"/>
    </row>
    <row r="49" ht="15.75" customHeight="1">
      <c r="A49" s="9" t="s">
        <v>1072</v>
      </c>
      <c r="B49" s="9" t="s">
        <v>601</v>
      </c>
      <c r="C49" s="9" t="s">
        <v>971</v>
      </c>
      <c r="D49" s="9" t="s">
        <v>1073</v>
      </c>
      <c r="E49" s="9" t="s">
        <v>249</v>
      </c>
      <c r="F49" s="9" t="s">
        <v>1074</v>
      </c>
      <c r="G49" s="9" t="s">
        <v>155</v>
      </c>
      <c r="H49" s="9">
        <v>2.0</v>
      </c>
      <c r="I49" s="9" t="s">
        <v>149</v>
      </c>
      <c r="J49" s="9">
        <v>0.0</v>
      </c>
      <c r="K49" s="9"/>
    </row>
    <row r="50" ht="15.75" customHeight="1">
      <c r="A50" s="9" t="s">
        <v>1075</v>
      </c>
      <c r="B50" s="9" t="s">
        <v>601</v>
      </c>
      <c r="C50" s="9" t="s">
        <v>971</v>
      </c>
      <c r="D50" s="9" t="s">
        <v>1076</v>
      </c>
      <c r="E50" s="9" t="s">
        <v>249</v>
      </c>
      <c r="F50" s="9" t="s">
        <v>549</v>
      </c>
      <c r="G50" s="9" t="s">
        <v>188</v>
      </c>
      <c r="H50" s="9">
        <v>3.0</v>
      </c>
      <c r="I50" s="9" t="s">
        <v>149</v>
      </c>
      <c r="J50" s="9">
        <v>0.0</v>
      </c>
      <c r="K50" s="9"/>
    </row>
    <row r="51" ht="15.75" customHeight="1">
      <c r="A51" s="9" t="s">
        <v>1077</v>
      </c>
      <c r="B51" s="9" t="s">
        <v>601</v>
      </c>
      <c r="C51" s="9" t="s">
        <v>971</v>
      </c>
      <c r="D51" s="9" t="s">
        <v>1078</v>
      </c>
      <c r="E51" s="9" t="s">
        <v>249</v>
      </c>
      <c r="F51" s="9" t="s">
        <v>530</v>
      </c>
      <c r="G51" s="9" t="s">
        <v>192</v>
      </c>
      <c r="H51" s="9">
        <v>3.0</v>
      </c>
      <c r="I51" s="9" t="s">
        <v>149</v>
      </c>
      <c r="J51" s="9">
        <v>0.0</v>
      </c>
      <c r="K51" s="9" t="s">
        <v>1079</v>
      </c>
    </row>
    <row r="52" ht="15.75" customHeight="1">
      <c r="A52" s="9" t="s">
        <v>1080</v>
      </c>
      <c r="B52" s="9" t="s">
        <v>601</v>
      </c>
      <c r="C52" s="9" t="s">
        <v>971</v>
      </c>
      <c r="D52" s="9" t="s">
        <v>1081</v>
      </c>
      <c r="E52" s="9" t="s">
        <v>249</v>
      </c>
      <c r="F52" s="9" t="s">
        <v>530</v>
      </c>
      <c r="G52" s="9" t="s">
        <v>192</v>
      </c>
      <c r="H52" s="9">
        <v>3.0</v>
      </c>
      <c r="I52" s="9" t="s">
        <v>149</v>
      </c>
      <c r="J52" s="9">
        <v>0.0</v>
      </c>
      <c r="K52" s="9"/>
    </row>
    <row r="53" ht="15.75" customHeight="1">
      <c r="A53" s="9" t="s">
        <v>1082</v>
      </c>
      <c r="B53" s="9" t="s">
        <v>601</v>
      </c>
      <c r="C53" s="9" t="s">
        <v>971</v>
      </c>
      <c r="D53" s="9" t="s">
        <v>1083</v>
      </c>
      <c r="E53" s="9" t="s">
        <v>249</v>
      </c>
      <c r="F53" s="9" t="s">
        <v>461</v>
      </c>
      <c r="G53" s="9" t="s">
        <v>192</v>
      </c>
      <c r="H53" s="9">
        <v>2.0</v>
      </c>
      <c r="I53" s="9" t="s">
        <v>149</v>
      </c>
      <c r="J53" s="9">
        <v>0.0</v>
      </c>
      <c r="K53" s="9"/>
    </row>
    <row r="54" ht="15.75" customHeight="1">
      <c r="A54" s="9" t="s">
        <v>1084</v>
      </c>
      <c r="B54" s="9" t="s">
        <v>601</v>
      </c>
      <c r="C54" s="9" t="s">
        <v>971</v>
      </c>
      <c r="D54" s="9" t="s">
        <v>1085</v>
      </c>
      <c r="E54" s="9" t="s">
        <v>249</v>
      </c>
      <c r="F54" s="9" t="s">
        <v>450</v>
      </c>
      <c r="G54" s="9" t="s">
        <v>34</v>
      </c>
      <c r="H54" s="9">
        <v>3.0</v>
      </c>
      <c r="I54" s="9" t="s">
        <v>149</v>
      </c>
      <c r="J54" s="9">
        <v>0.0</v>
      </c>
      <c r="K54" s="9"/>
    </row>
    <row r="55" ht="15.75" customHeight="1">
      <c r="A55" s="9" t="s">
        <v>1086</v>
      </c>
      <c r="B55" s="9" t="s">
        <v>691</v>
      </c>
      <c r="C55" s="9" t="s">
        <v>369</v>
      </c>
      <c r="D55" s="9" t="s">
        <v>1087</v>
      </c>
      <c r="E55" s="9" t="s">
        <v>1006</v>
      </c>
      <c r="F55" s="9" t="s">
        <v>1088</v>
      </c>
      <c r="G55" s="9" t="s">
        <v>159</v>
      </c>
      <c r="H55" s="9">
        <v>5.0</v>
      </c>
      <c r="I55" s="9" t="s">
        <v>149</v>
      </c>
      <c r="J55" s="9">
        <v>0.0</v>
      </c>
      <c r="K55" s="9"/>
    </row>
    <row r="56" ht="15.75" customHeight="1">
      <c r="A56" s="9" t="s">
        <v>1089</v>
      </c>
      <c r="B56" s="9" t="s">
        <v>691</v>
      </c>
      <c r="C56" s="9" t="s">
        <v>369</v>
      </c>
      <c r="D56" s="9" t="s">
        <v>1090</v>
      </c>
      <c r="E56" s="9" t="s">
        <v>1006</v>
      </c>
      <c r="F56" s="9" t="s">
        <v>1091</v>
      </c>
      <c r="G56" s="9" t="s">
        <v>159</v>
      </c>
      <c r="H56" s="9">
        <v>3.0</v>
      </c>
      <c r="I56" s="9" t="s">
        <v>149</v>
      </c>
      <c r="J56" s="9">
        <v>0.0</v>
      </c>
      <c r="K56" s="9"/>
    </row>
    <row r="57" ht="15.75" customHeight="1">
      <c r="A57" s="9" t="s">
        <v>1092</v>
      </c>
      <c r="B57" s="9" t="s">
        <v>691</v>
      </c>
      <c r="C57" s="9" t="s">
        <v>347</v>
      </c>
      <c r="D57" s="9" t="s">
        <v>1093</v>
      </c>
      <c r="E57" s="9" t="s">
        <v>941</v>
      </c>
      <c r="F57" s="9" t="s">
        <v>495</v>
      </c>
      <c r="G57" s="9" t="s">
        <v>155</v>
      </c>
      <c r="H57" s="9">
        <v>3.0</v>
      </c>
      <c r="I57" s="9" t="s">
        <v>149</v>
      </c>
      <c r="J57" s="9">
        <v>0.0</v>
      </c>
      <c r="K57" s="9"/>
    </row>
    <row r="58" ht="15.75" customHeight="1">
      <c r="A58" s="9" t="s">
        <v>1094</v>
      </c>
      <c r="B58" s="9" t="s">
        <v>691</v>
      </c>
      <c r="C58" s="9" t="s">
        <v>347</v>
      </c>
      <c r="D58" s="9" t="s">
        <v>1095</v>
      </c>
      <c r="E58" s="9" t="s">
        <v>1006</v>
      </c>
      <c r="F58" s="9" t="s">
        <v>1096</v>
      </c>
      <c r="G58" s="9" t="s">
        <v>159</v>
      </c>
      <c r="H58" s="9">
        <v>5.0</v>
      </c>
      <c r="I58" s="9" t="s">
        <v>149</v>
      </c>
      <c r="J58" s="9">
        <v>0.0</v>
      </c>
      <c r="K58" s="9" t="s">
        <v>1097</v>
      </c>
    </row>
    <row r="59" ht="15.75" customHeight="1">
      <c r="A59" s="9" t="s">
        <v>1098</v>
      </c>
      <c r="B59" s="9" t="s">
        <v>691</v>
      </c>
      <c r="C59" s="9" t="s">
        <v>701</v>
      </c>
      <c r="D59" s="9" t="s">
        <v>1099</v>
      </c>
      <c r="E59" s="9" t="s">
        <v>1006</v>
      </c>
      <c r="F59" s="9" t="s">
        <v>1100</v>
      </c>
      <c r="G59" s="9" t="s">
        <v>159</v>
      </c>
      <c r="H59" s="9">
        <v>3.0</v>
      </c>
      <c r="I59" s="9" t="s">
        <v>149</v>
      </c>
      <c r="J59" s="9">
        <v>0.0</v>
      </c>
      <c r="K59" s="9"/>
    </row>
    <row r="60" ht="15.75" customHeight="1">
      <c r="A60" s="9" t="s">
        <v>1101</v>
      </c>
      <c r="B60" s="9" t="s">
        <v>691</v>
      </c>
      <c r="C60" s="9" t="s">
        <v>1102</v>
      </c>
      <c r="D60" s="9" t="s">
        <v>1103</v>
      </c>
      <c r="E60" s="9" t="s">
        <v>955</v>
      </c>
      <c r="F60" s="9" t="s">
        <v>530</v>
      </c>
      <c r="G60" s="9" t="s">
        <v>162</v>
      </c>
      <c r="H60" s="9">
        <v>3.0</v>
      </c>
      <c r="I60" s="9" t="s">
        <v>149</v>
      </c>
      <c r="J60" s="9">
        <v>0.0</v>
      </c>
      <c r="K60" s="9"/>
    </row>
    <row r="61" ht="15.75" customHeight="1">
      <c r="A61" s="9" t="s">
        <v>1104</v>
      </c>
      <c r="B61" s="9" t="s">
        <v>691</v>
      </c>
      <c r="C61" s="9" t="s">
        <v>1105</v>
      </c>
      <c r="D61" s="9" t="s">
        <v>1106</v>
      </c>
      <c r="E61" s="9" t="s">
        <v>955</v>
      </c>
      <c r="F61" s="9" t="s">
        <v>534</v>
      </c>
      <c r="G61" s="9" t="s">
        <v>162</v>
      </c>
      <c r="H61" s="9">
        <v>3.0</v>
      </c>
      <c r="I61" s="9" t="s">
        <v>149</v>
      </c>
      <c r="J61" s="9">
        <v>0.0</v>
      </c>
      <c r="K61" s="9"/>
    </row>
    <row r="62" ht="15.75" customHeight="1">
      <c r="A62" s="9" t="s">
        <v>1107</v>
      </c>
      <c r="B62" s="9" t="s">
        <v>691</v>
      </c>
      <c r="C62" s="9" t="s">
        <v>933</v>
      </c>
      <c r="D62" s="9" t="s">
        <v>1108</v>
      </c>
      <c r="E62" s="9" t="s">
        <v>933</v>
      </c>
      <c r="F62" s="9" t="s">
        <v>450</v>
      </c>
      <c r="G62" s="9" t="s">
        <v>155</v>
      </c>
      <c r="H62" s="9">
        <v>3.0</v>
      </c>
      <c r="I62" s="9" t="s">
        <v>149</v>
      </c>
      <c r="J62" s="9">
        <v>0.0</v>
      </c>
      <c r="K62" s="9"/>
    </row>
    <row r="63" ht="15.75" customHeight="1">
      <c r="A63" s="9" t="s">
        <v>1109</v>
      </c>
      <c r="B63" s="9" t="s">
        <v>691</v>
      </c>
      <c r="C63" s="9" t="s">
        <v>933</v>
      </c>
      <c r="D63" s="9" t="s">
        <v>1110</v>
      </c>
      <c r="E63" s="9" t="s">
        <v>933</v>
      </c>
      <c r="F63" s="9" t="s">
        <v>543</v>
      </c>
      <c r="G63" s="9" t="s">
        <v>155</v>
      </c>
      <c r="H63" s="9">
        <v>2.0</v>
      </c>
      <c r="I63" s="9" t="s">
        <v>149</v>
      </c>
      <c r="J63" s="9">
        <v>0.0</v>
      </c>
      <c r="K63" s="9"/>
    </row>
    <row r="64" ht="15.75" customHeight="1">
      <c r="A64" s="9" t="s">
        <v>1111</v>
      </c>
      <c r="B64" s="9" t="s">
        <v>691</v>
      </c>
      <c r="C64" s="9" t="s">
        <v>971</v>
      </c>
      <c r="D64" s="9" t="s">
        <v>1112</v>
      </c>
      <c r="E64" s="9" t="s">
        <v>249</v>
      </c>
      <c r="F64" s="9" t="s">
        <v>1113</v>
      </c>
      <c r="G64" s="9" t="s">
        <v>188</v>
      </c>
      <c r="H64" s="9">
        <v>3.0</v>
      </c>
      <c r="I64" s="9" t="s">
        <v>149</v>
      </c>
      <c r="J64" s="9">
        <v>0.0</v>
      </c>
      <c r="K64" s="9" t="s">
        <v>1114</v>
      </c>
    </row>
    <row r="65" ht="15.75" customHeight="1">
      <c r="A65" s="9" t="s">
        <v>1115</v>
      </c>
      <c r="B65" s="9" t="s">
        <v>691</v>
      </c>
      <c r="C65" s="9" t="s">
        <v>971</v>
      </c>
      <c r="D65" s="9" t="s">
        <v>1116</v>
      </c>
      <c r="E65" s="9" t="s">
        <v>249</v>
      </c>
      <c r="F65" s="9" t="s">
        <v>537</v>
      </c>
      <c r="G65" s="9" t="s">
        <v>186</v>
      </c>
      <c r="H65" s="9">
        <v>3.0</v>
      </c>
      <c r="I65" s="9" t="s">
        <v>149</v>
      </c>
      <c r="J65" s="9">
        <v>0.0</v>
      </c>
      <c r="K65" s="9" t="s">
        <v>1117</v>
      </c>
    </row>
    <row r="66" ht="15.75" customHeight="1">
      <c r="A66" s="9" t="s">
        <v>1118</v>
      </c>
      <c r="B66" s="9" t="s">
        <v>691</v>
      </c>
      <c r="C66" s="9" t="s">
        <v>971</v>
      </c>
      <c r="D66" s="9" t="s">
        <v>1119</v>
      </c>
      <c r="E66" s="9" t="s">
        <v>249</v>
      </c>
      <c r="F66" s="9" t="s">
        <v>540</v>
      </c>
      <c r="G66" s="9" t="s">
        <v>186</v>
      </c>
      <c r="H66" s="9">
        <v>3.0</v>
      </c>
      <c r="I66" s="9" t="s">
        <v>149</v>
      </c>
      <c r="J66" s="9">
        <v>0.0</v>
      </c>
      <c r="K66" s="9" t="s">
        <v>1120</v>
      </c>
    </row>
    <row r="67" ht="15.75" customHeight="1">
      <c r="A67" s="9" t="s">
        <v>1121</v>
      </c>
      <c r="B67" s="9" t="s">
        <v>691</v>
      </c>
      <c r="C67" s="9" t="s">
        <v>971</v>
      </c>
      <c r="D67" s="9" t="s">
        <v>1122</v>
      </c>
      <c r="E67" s="9" t="s">
        <v>249</v>
      </c>
      <c r="F67" s="9" t="s">
        <v>534</v>
      </c>
      <c r="G67" s="9" t="s">
        <v>192</v>
      </c>
      <c r="H67" s="9">
        <v>2.0</v>
      </c>
      <c r="I67" s="9" t="s">
        <v>149</v>
      </c>
      <c r="J67" s="9">
        <v>0.0</v>
      </c>
      <c r="K67" s="9" t="s">
        <v>1123</v>
      </c>
    </row>
    <row r="68" ht="15.75" customHeight="1">
      <c r="A68" s="9" t="s">
        <v>1124</v>
      </c>
      <c r="B68" s="9" t="s">
        <v>691</v>
      </c>
      <c r="C68" s="9" t="s">
        <v>971</v>
      </c>
      <c r="D68" s="9" t="s">
        <v>1125</v>
      </c>
      <c r="E68" s="9" t="s">
        <v>249</v>
      </c>
      <c r="F68" s="9" t="s">
        <v>450</v>
      </c>
      <c r="G68" s="9" t="s">
        <v>197</v>
      </c>
      <c r="H68" s="9">
        <v>3.0</v>
      </c>
      <c r="I68" s="9" t="s">
        <v>149</v>
      </c>
      <c r="J68" s="9">
        <v>0.0</v>
      </c>
      <c r="K68" s="9" t="s">
        <v>1126</v>
      </c>
    </row>
    <row r="69" ht="15.75" customHeight="1">
      <c r="A69" s="9" t="s">
        <v>1127</v>
      </c>
      <c r="B69" s="9" t="s">
        <v>691</v>
      </c>
      <c r="C69" s="9" t="s">
        <v>971</v>
      </c>
      <c r="D69" s="9" t="s">
        <v>1128</v>
      </c>
      <c r="E69" s="9" t="s">
        <v>249</v>
      </c>
      <c r="F69" s="9" t="s">
        <v>450</v>
      </c>
      <c r="G69" s="9" t="s">
        <v>188</v>
      </c>
      <c r="H69" s="9">
        <v>2.0</v>
      </c>
      <c r="I69" s="9" t="s">
        <v>149</v>
      </c>
      <c r="J69" s="9">
        <v>0.0</v>
      </c>
      <c r="K69" s="9"/>
    </row>
    <row r="70" ht="15.75" customHeight="1">
      <c r="A70" s="9" t="s">
        <v>1129</v>
      </c>
      <c r="B70" s="9" t="s">
        <v>691</v>
      </c>
      <c r="C70" s="9" t="s">
        <v>971</v>
      </c>
      <c r="D70" s="9" t="s">
        <v>1130</v>
      </c>
      <c r="E70" s="9" t="s">
        <v>249</v>
      </c>
      <c r="F70" s="9" t="s">
        <v>450</v>
      </c>
      <c r="G70" s="9" t="s">
        <v>1131</v>
      </c>
      <c r="H70" s="9">
        <v>2.0</v>
      </c>
      <c r="I70" s="9" t="s">
        <v>149</v>
      </c>
      <c r="J70" s="9">
        <v>0.0</v>
      </c>
      <c r="K70" s="9" t="s">
        <v>1132</v>
      </c>
    </row>
    <row r="71" ht="15.75" customHeight="1">
      <c r="A71" s="9" t="s">
        <v>1133</v>
      </c>
      <c r="B71" s="9" t="s">
        <v>691</v>
      </c>
      <c r="C71" s="9" t="s">
        <v>249</v>
      </c>
      <c r="D71" s="9" t="s">
        <v>1134</v>
      </c>
      <c r="E71" s="9" t="s">
        <v>183</v>
      </c>
      <c r="F71" s="9" t="s">
        <v>450</v>
      </c>
      <c r="G71" s="9" t="s">
        <v>34</v>
      </c>
      <c r="H71" s="9">
        <v>5.0</v>
      </c>
      <c r="I71" s="9" t="s">
        <v>149</v>
      </c>
      <c r="J71" s="9">
        <v>0.0</v>
      </c>
      <c r="K71" s="9"/>
    </row>
    <row r="72" ht="15.75" customHeight="1">
      <c r="A72" s="9" t="s">
        <v>1135</v>
      </c>
      <c r="B72" s="9" t="s">
        <v>691</v>
      </c>
      <c r="C72" s="9" t="s">
        <v>1136</v>
      </c>
      <c r="D72" s="9" t="s">
        <v>1137</v>
      </c>
      <c r="E72" s="9" t="s">
        <v>168</v>
      </c>
      <c r="F72" s="9" t="s">
        <v>450</v>
      </c>
      <c r="G72" s="9" t="s">
        <v>168</v>
      </c>
      <c r="H72" s="9">
        <v>2.0</v>
      </c>
      <c r="I72" s="9" t="s">
        <v>149</v>
      </c>
      <c r="J72" s="9">
        <v>0.0</v>
      </c>
      <c r="K72" s="9" t="s">
        <v>1044</v>
      </c>
    </row>
    <row r="73" ht="15.75" customHeight="1"/>
    <row r="74" ht="15.75" customHeight="1">
      <c r="G74" s="34" t="s">
        <v>1138</v>
      </c>
      <c r="H74" s="59">
        <f>SUM(H5:H72)</f>
        <v>214</v>
      </c>
    </row>
    <row r="75" ht="15.75" customHeight="1">
      <c r="G75" s="34" t="s">
        <v>1139</v>
      </c>
      <c r="H75" s="60">
        <f>SUMIF(I5:I72,"Done",H5:H72)</f>
        <v>0</v>
      </c>
    </row>
    <row r="76" ht="15.75" customHeight="1">
      <c r="G76" s="34" t="s">
        <v>1140</v>
      </c>
      <c r="H76" s="61">
        <f>IFERROR(H75/H74,0)</f>
        <v>0</v>
      </c>
    </row>
    <row r="77" ht="15.75" customHeight="1"/>
    <row r="78" ht="15.75" customHeight="1">
      <c r="G78" s="34" t="s">
        <v>1141</v>
      </c>
      <c r="H78" s="62">
        <f>SUMIFS(H5:H72,E5:E72,"QA")+SUMIFS(H5:H72,C5:C72,"[QA]")</f>
        <v>128</v>
      </c>
    </row>
    <row r="79" ht="15.75" customHeight="1">
      <c r="G79" s="34" t="s">
        <v>1142</v>
      </c>
      <c r="H79" s="63">
        <f>IFERROR(H78/H74,0)</f>
        <v>0.5981308411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2"/>
  </mergeCells>
  <conditionalFormatting sqref="I5:I72">
    <cfRule type="cellIs" dxfId="0" priority="1" operator="equal">
      <formula>"Done"</formula>
    </cfRule>
  </conditionalFormatting>
  <conditionalFormatting sqref="I5:I72">
    <cfRule type="cellIs" dxfId="1" priority="2" operator="equal">
      <formula>"In Progress"</formula>
    </cfRule>
  </conditionalFormatting>
  <conditionalFormatting sqref="I5:I72">
    <cfRule type="cellIs" dxfId="2" priority="3" operator="equal">
      <formula>"Blocked"</formula>
    </cfRule>
  </conditionalFormatting>
  <conditionalFormatting sqref="I5:I72">
    <cfRule type="cellIs" dxfId="3" priority="4" operator="equal">
      <formula>"Not Started"</formula>
    </cfRule>
  </conditionalFormatting>
  <conditionalFormatting sqref="I5:I72">
    <cfRule type="cellIs" dxfId="4" priority="5" operator="equal">
      <formula>"In Review"</formula>
    </cfRule>
  </conditionalFormatting>
  <conditionalFormatting sqref="I5:I72">
    <cfRule type="cellIs" dxfId="0" priority="6" operator="equal">
      <formula>"Fixed"</formula>
    </cfRule>
  </conditionalFormatting>
  <conditionalFormatting sqref="I5:I72">
    <cfRule type="cellIs" dxfId="5" priority="7" operator="equal">
      <formula>"Verified"</formula>
    </cfRule>
  </conditionalFormatting>
  <conditionalFormatting sqref="I5:I72">
    <cfRule type="cellIs" dxfId="6" priority="8" operator="equal">
      <formula>"Won't Fix"</formula>
    </cfRule>
  </conditionalFormatting>
  <conditionalFormatting sqref="I5:I72">
    <cfRule type="cellIs" dxfId="7" priority="9" operator="equal">
      <formula>"New"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30.63"/>
    <col customWidth="1" min="3" max="3" width="21.88"/>
    <col customWidth="1" min="4" max="6" width="15.75"/>
    <col customWidth="1" min="7" max="26" width="7.63"/>
  </cols>
  <sheetData>
    <row r="1" ht="15.0" customHeight="1">
      <c r="A1" s="1" t="s">
        <v>1143</v>
      </c>
      <c r="B1" s="2"/>
      <c r="C1" s="2"/>
      <c r="D1" s="2"/>
      <c r="E1" s="2"/>
      <c r="F1" s="3"/>
    </row>
    <row r="2">
      <c r="A2" s="4"/>
      <c r="B2" s="5"/>
      <c r="C2" s="5"/>
      <c r="D2" s="5"/>
      <c r="E2" s="5"/>
      <c r="F2" s="6"/>
    </row>
    <row r="4" ht="15.0" customHeight="1">
      <c r="A4" s="13" t="s">
        <v>1144</v>
      </c>
      <c r="B4" s="14"/>
      <c r="C4" s="14"/>
      <c r="D4" s="14"/>
      <c r="E4" s="14"/>
      <c r="F4" s="15"/>
    </row>
    <row r="5">
      <c r="A5" s="8" t="s">
        <v>1145</v>
      </c>
      <c r="B5" s="8" t="s">
        <v>1146</v>
      </c>
      <c r="C5" s="8" t="s">
        <v>1147</v>
      </c>
      <c r="D5" s="8" t="s">
        <v>1148</v>
      </c>
      <c r="E5" s="8" t="s">
        <v>143</v>
      </c>
      <c r="F5" s="8" t="s">
        <v>1149</v>
      </c>
    </row>
    <row r="6">
      <c r="A6" s="9" t="s">
        <v>1150</v>
      </c>
      <c r="B6" s="9" t="s">
        <v>1151</v>
      </c>
      <c r="C6" s="9" t="s">
        <v>1152</v>
      </c>
      <c r="D6" s="9" t="s">
        <v>1153</v>
      </c>
      <c r="E6" s="9" t="s">
        <v>1154</v>
      </c>
      <c r="F6" s="9" t="s">
        <v>1155</v>
      </c>
    </row>
    <row r="7">
      <c r="A7" s="9" t="s">
        <v>1156</v>
      </c>
      <c r="B7" s="9" t="s">
        <v>1157</v>
      </c>
      <c r="C7" s="9" t="s">
        <v>1158</v>
      </c>
      <c r="D7" s="9" t="s">
        <v>1159</v>
      </c>
      <c r="E7" s="9" t="s">
        <v>1160</v>
      </c>
      <c r="F7" s="9" t="s">
        <v>1161</v>
      </c>
    </row>
    <row r="8">
      <c r="A8" s="9" t="s">
        <v>1162</v>
      </c>
      <c r="B8" s="9" t="s">
        <v>1163</v>
      </c>
      <c r="C8" s="9" t="s">
        <v>1164</v>
      </c>
      <c r="D8" s="9" t="s">
        <v>1165</v>
      </c>
      <c r="E8" s="9" t="s">
        <v>188</v>
      </c>
      <c r="F8" s="9" t="s">
        <v>1166</v>
      </c>
    </row>
    <row r="9">
      <c r="A9" s="9" t="s">
        <v>1167</v>
      </c>
      <c r="B9" s="9" t="s">
        <v>1168</v>
      </c>
      <c r="C9" s="9" t="s">
        <v>1169</v>
      </c>
      <c r="D9" s="9" t="s">
        <v>1170</v>
      </c>
      <c r="E9" s="9" t="s">
        <v>1171</v>
      </c>
      <c r="F9" s="9" t="s">
        <v>1172</v>
      </c>
    </row>
    <row r="10">
      <c r="A10" s="9" t="s">
        <v>1173</v>
      </c>
      <c r="B10" s="9" t="s">
        <v>1174</v>
      </c>
      <c r="C10" s="9" t="s">
        <v>1175</v>
      </c>
      <c r="D10" s="9" t="s">
        <v>1159</v>
      </c>
      <c r="E10" s="9" t="s">
        <v>1171</v>
      </c>
      <c r="F10" s="9" t="s">
        <v>1176</v>
      </c>
    </row>
    <row r="11">
      <c r="A11" s="9" t="s">
        <v>1177</v>
      </c>
      <c r="B11" s="9" t="s">
        <v>1178</v>
      </c>
      <c r="C11" s="9" t="s">
        <v>450</v>
      </c>
      <c r="D11" s="9" t="s">
        <v>1179</v>
      </c>
      <c r="E11" s="9" t="s">
        <v>1180</v>
      </c>
      <c r="F11" s="9" t="s">
        <v>1181</v>
      </c>
    </row>
    <row r="12">
      <c r="A12" s="9" t="s">
        <v>1182</v>
      </c>
      <c r="B12" s="9" t="s">
        <v>1183</v>
      </c>
      <c r="C12" s="9" t="s">
        <v>450</v>
      </c>
      <c r="D12" s="9" t="s">
        <v>1184</v>
      </c>
      <c r="E12" s="9" t="s">
        <v>1185</v>
      </c>
      <c r="F12" s="9" t="s">
        <v>1186</v>
      </c>
    </row>
    <row r="15" ht="15.0" customHeight="1">
      <c r="A15" s="13" t="s">
        <v>1187</v>
      </c>
      <c r="B15" s="14"/>
      <c r="C15" s="14"/>
      <c r="D15" s="14"/>
      <c r="E15" s="14"/>
      <c r="F15" s="15"/>
    </row>
    <row r="16" ht="15.0" customHeight="1">
      <c r="A16" s="17" t="s">
        <v>1188</v>
      </c>
      <c r="B16" s="14"/>
      <c r="C16" s="14"/>
      <c r="D16" s="14"/>
      <c r="E16" s="14"/>
      <c r="F16" s="14"/>
    </row>
    <row r="17" ht="15.0" customHeight="1">
      <c r="A17" s="17" t="s">
        <v>1189</v>
      </c>
      <c r="B17" s="14"/>
      <c r="C17" s="14"/>
      <c r="D17" s="14"/>
      <c r="E17" s="14"/>
      <c r="F17" s="14"/>
    </row>
    <row r="18" ht="15.0" customHeight="1">
      <c r="A18" s="17" t="s">
        <v>1190</v>
      </c>
      <c r="B18" s="14"/>
      <c r="C18" s="14"/>
      <c r="D18" s="14"/>
      <c r="E18" s="14"/>
      <c r="F18" s="14"/>
    </row>
    <row r="19" ht="15.0" customHeight="1">
      <c r="A19" s="17" t="s">
        <v>1191</v>
      </c>
      <c r="B19" s="14"/>
      <c r="C19" s="14"/>
      <c r="D19" s="14"/>
      <c r="E19" s="14"/>
      <c r="F19" s="14"/>
    </row>
    <row r="20" ht="15.0" customHeight="1">
      <c r="A20" s="17" t="s">
        <v>1192</v>
      </c>
      <c r="B20" s="14"/>
      <c r="C20" s="14"/>
      <c r="D20" s="14"/>
      <c r="E20" s="14"/>
      <c r="F20" s="14"/>
    </row>
    <row r="21" ht="15.0" customHeight="1">
      <c r="A21" s="17" t="s">
        <v>1193</v>
      </c>
      <c r="B21" s="14"/>
      <c r="C21" s="14"/>
      <c r="D21" s="14"/>
      <c r="E21" s="14"/>
      <c r="F21" s="14"/>
    </row>
    <row r="22" ht="15.0" customHeight="1">
      <c r="A22" s="17" t="s">
        <v>1194</v>
      </c>
      <c r="B22" s="14"/>
      <c r="C22" s="14"/>
      <c r="D22" s="14"/>
      <c r="E22" s="14"/>
      <c r="F22" s="14"/>
    </row>
    <row r="23" ht="15.0" customHeight="1">
      <c r="A23" s="17" t="s">
        <v>1195</v>
      </c>
      <c r="B23" s="14"/>
      <c r="C23" s="14"/>
      <c r="D23" s="14"/>
      <c r="E23" s="14"/>
      <c r="F23" s="14"/>
    </row>
    <row r="24" ht="15.0" customHeight="1">
      <c r="A24" s="17" t="s">
        <v>1196</v>
      </c>
      <c r="B24" s="14"/>
      <c r="C24" s="14"/>
      <c r="D24" s="14"/>
      <c r="E24" s="14"/>
      <c r="F24" s="14"/>
    </row>
    <row r="25" ht="15.0" customHeight="1">
      <c r="A25" s="17" t="s">
        <v>1197</v>
      </c>
      <c r="B25" s="14"/>
      <c r="C25" s="14"/>
      <c r="D25" s="14"/>
      <c r="E25" s="14"/>
      <c r="F25" s="14"/>
    </row>
    <row r="26" ht="15.0" customHeight="1">
      <c r="A26" s="17" t="s">
        <v>1198</v>
      </c>
      <c r="B26" s="14"/>
      <c r="C26" s="14"/>
      <c r="D26" s="14"/>
      <c r="E26" s="14"/>
      <c r="F26" s="14"/>
    </row>
    <row r="27" ht="15.75" customHeight="1"/>
    <row r="28" ht="15.75" customHeight="1"/>
    <row r="29" ht="15.0" customHeight="1">
      <c r="A29" s="13" t="s">
        <v>1199</v>
      </c>
      <c r="B29" s="14"/>
      <c r="C29" s="14"/>
      <c r="D29" s="14"/>
      <c r="E29" s="14"/>
      <c r="F29" s="15"/>
    </row>
    <row r="30" ht="15.75" customHeight="1">
      <c r="A30" s="8" t="s">
        <v>1200</v>
      </c>
      <c r="B30" s="8" t="s">
        <v>1201</v>
      </c>
      <c r="C30" s="8" t="s">
        <v>1202</v>
      </c>
      <c r="D30" s="8" t="s">
        <v>1203</v>
      </c>
      <c r="E30" s="8" t="s">
        <v>1204</v>
      </c>
    </row>
    <row r="31" ht="15.75" customHeight="1">
      <c r="A31" s="9" t="s">
        <v>1205</v>
      </c>
      <c r="B31" s="9" t="s">
        <v>1206</v>
      </c>
      <c r="C31" s="9" t="s">
        <v>1207</v>
      </c>
      <c r="D31" s="9" t="s">
        <v>450</v>
      </c>
      <c r="E31" s="9" t="s">
        <v>183</v>
      </c>
    </row>
    <row r="32" ht="15.75" customHeight="1">
      <c r="A32" s="9" t="s">
        <v>1208</v>
      </c>
      <c r="B32" s="10" t="s">
        <v>1209</v>
      </c>
      <c r="C32" s="9" t="s">
        <v>1210</v>
      </c>
      <c r="D32" s="9" t="s">
        <v>1211</v>
      </c>
      <c r="E32" s="9" t="s">
        <v>1212</v>
      </c>
    </row>
    <row r="33" ht="15.75" customHeight="1">
      <c r="A33" s="9" t="s">
        <v>1213</v>
      </c>
      <c r="B33" s="9"/>
      <c r="C33" s="9" t="s">
        <v>1214</v>
      </c>
      <c r="D33" s="9" t="s">
        <v>1215</v>
      </c>
      <c r="E33" s="9" t="s">
        <v>1216</v>
      </c>
    </row>
    <row r="34" ht="15.75" customHeight="1">
      <c r="A34" s="9" t="s">
        <v>1217</v>
      </c>
      <c r="B34" s="9"/>
      <c r="C34" s="9" t="s">
        <v>1218</v>
      </c>
      <c r="D34" s="9" t="s">
        <v>1219</v>
      </c>
      <c r="E34" s="9" t="s">
        <v>1220</v>
      </c>
    </row>
    <row r="35" ht="15.75" customHeight="1"/>
    <row r="36" ht="15.0" customHeight="1">
      <c r="A36" s="13" t="s">
        <v>1221</v>
      </c>
      <c r="B36" s="14"/>
      <c r="C36" s="14"/>
      <c r="D36" s="14"/>
      <c r="E36" s="14"/>
      <c r="F36" s="15"/>
    </row>
    <row r="37" ht="15.75" customHeight="1">
      <c r="A37" s="8" t="s">
        <v>1222</v>
      </c>
      <c r="B37" s="8" t="s">
        <v>1223</v>
      </c>
      <c r="C37" s="8" t="s">
        <v>1224</v>
      </c>
      <c r="D37" s="8" t="s">
        <v>1225</v>
      </c>
      <c r="E37" s="8" t="s">
        <v>1226</v>
      </c>
    </row>
    <row r="38" ht="15.75" customHeight="1">
      <c r="A38" s="64" t="s">
        <v>1227</v>
      </c>
      <c r="B38" s="9" t="s">
        <v>1228</v>
      </c>
      <c r="C38" s="9" t="s">
        <v>1229</v>
      </c>
      <c r="D38" s="9" t="s">
        <v>1230</v>
      </c>
      <c r="E38" s="9" t="s">
        <v>1231</v>
      </c>
    </row>
    <row r="39" ht="15.75" customHeight="1">
      <c r="A39" s="65" t="s">
        <v>1232</v>
      </c>
      <c r="B39" s="9" t="s">
        <v>1233</v>
      </c>
      <c r="C39" s="9" t="s">
        <v>1234</v>
      </c>
      <c r="D39" s="9" t="s">
        <v>1235</v>
      </c>
      <c r="E39" s="9" t="s">
        <v>1236</v>
      </c>
    </row>
    <row r="40" ht="15.75" customHeight="1">
      <c r="A40" s="66" t="s">
        <v>1237</v>
      </c>
      <c r="B40" s="9" t="s">
        <v>1238</v>
      </c>
      <c r="C40" s="9" t="s">
        <v>1239</v>
      </c>
      <c r="D40" s="9" t="s">
        <v>1240</v>
      </c>
      <c r="E40" s="9" t="s">
        <v>1241</v>
      </c>
    </row>
    <row r="41" ht="15.75" customHeight="1">
      <c r="A41" s="67" t="s">
        <v>1242</v>
      </c>
      <c r="B41" s="9" t="s">
        <v>1243</v>
      </c>
      <c r="C41" s="9" t="s">
        <v>1244</v>
      </c>
      <c r="D41" s="9" t="s">
        <v>1245</v>
      </c>
      <c r="E41" s="9" t="s">
        <v>1246</v>
      </c>
    </row>
    <row r="42" ht="15.75" customHeight="1"/>
    <row r="43" ht="15.0" customHeight="1">
      <c r="A43" s="13" t="s">
        <v>1247</v>
      </c>
      <c r="B43" s="14"/>
      <c r="C43" s="14"/>
      <c r="D43" s="14"/>
      <c r="E43" s="14"/>
      <c r="F43" s="15"/>
    </row>
    <row r="44" ht="15.0" customHeight="1">
      <c r="A44" s="17" t="s">
        <v>1248</v>
      </c>
      <c r="B44" s="14"/>
      <c r="C44" s="14"/>
      <c r="D44" s="14"/>
      <c r="E44" s="14"/>
      <c r="F44" s="14"/>
    </row>
    <row r="45" ht="15.0" customHeight="1">
      <c r="A45" s="17" t="s">
        <v>1249</v>
      </c>
      <c r="B45" s="14"/>
      <c r="C45" s="14"/>
      <c r="D45" s="14"/>
      <c r="E45" s="14"/>
      <c r="F45" s="14"/>
    </row>
    <row r="46" ht="15.0" customHeight="1">
      <c r="A46" s="17" t="s">
        <v>1250</v>
      </c>
      <c r="B46" s="14"/>
      <c r="C46" s="14"/>
      <c r="D46" s="14"/>
      <c r="E46" s="14"/>
      <c r="F46" s="14"/>
    </row>
    <row r="47" ht="15.0" customHeight="1">
      <c r="A47" s="17" t="s">
        <v>1251</v>
      </c>
      <c r="B47" s="14"/>
      <c r="C47" s="14"/>
      <c r="D47" s="14"/>
      <c r="E47" s="14"/>
      <c r="F47" s="14"/>
    </row>
    <row r="48" ht="15.0" customHeight="1">
      <c r="A48" s="17" t="s">
        <v>1252</v>
      </c>
      <c r="B48" s="14"/>
      <c r="C48" s="14"/>
      <c r="D48" s="14"/>
      <c r="E48" s="14"/>
      <c r="F48" s="14"/>
    </row>
    <row r="49" ht="15.75" customHeight="1"/>
    <row r="50" ht="15.75" customHeight="1"/>
    <row r="51" ht="15.0" customHeight="1">
      <c r="A51" s="68" t="s">
        <v>1253</v>
      </c>
      <c r="B51" s="31"/>
      <c r="C51" s="31"/>
      <c r="D51" s="31"/>
      <c r="E51" s="31"/>
      <c r="F51" s="32"/>
    </row>
    <row r="52" ht="15.0" customHeight="1">
      <c r="A52" s="17" t="s">
        <v>1254</v>
      </c>
      <c r="B52" s="14"/>
      <c r="C52" s="14"/>
      <c r="D52" s="14"/>
      <c r="E52" s="14"/>
      <c r="F52" s="14"/>
    </row>
    <row r="53" ht="15.0" customHeight="1">
      <c r="A53" s="17" t="s">
        <v>1255</v>
      </c>
      <c r="B53" s="14"/>
      <c r="C53" s="14"/>
      <c r="D53" s="14"/>
      <c r="E53" s="14"/>
      <c r="F53" s="14"/>
    </row>
    <row r="54" ht="15.0" customHeight="1">
      <c r="A54" s="17" t="s">
        <v>1256</v>
      </c>
      <c r="B54" s="14"/>
      <c r="C54" s="14"/>
      <c r="D54" s="14"/>
      <c r="E54" s="14"/>
      <c r="F54" s="14"/>
    </row>
    <row r="55" ht="15.0" customHeight="1">
      <c r="A55" s="17" t="s">
        <v>1257</v>
      </c>
      <c r="B55" s="14"/>
      <c r="C55" s="14"/>
      <c r="D55" s="14"/>
      <c r="E55" s="14"/>
      <c r="F55" s="14"/>
    </row>
    <row r="56" ht="15.0" customHeight="1">
      <c r="A56" s="17" t="s">
        <v>1258</v>
      </c>
      <c r="B56" s="14"/>
      <c r="C56" s="14"/>
      <c r="D56" s="14"/>
      <c r="E56" s="14"/>
      <c r="F56" s="14"/>
    </row>
    <row r="57" ht="15.0" customHeight="1">
      <c r="A57" s="17" t="s">
        <v>1259</v>
      </c>
      <c r="B57" s="14"/>
      <c r="C57" s="14"/>
      <c r="D57" s="14"/>
      <c r="E57" s="14"/>
      <c r="F57" s="14"/>
    </row>
    <row r="58" ht="15.0" customHeight="1">
      <c r="A58" s="17" t="s">
        <v>1260</v>
      </c>
      <c r="B58" s="14"/>
      <c r="C58" s="14"/>
      <c r="D58" s="14"/>
      <c r="E58" s="14"/>
      <c r="F58" s="14"/>
    </row>
    <row r="59" ht="15.0" customHeight="1">
      <c r="A59" s="17" t="s">
        <v>1261</v>
      </c>
      <c r="B59" s="14"/>
      <c r="C59" s="14"/>
      <c r="D59" s="14"/>
      <c r="E59" s="14"/>
      <c r="F59" s="14"/>
    </row>
    <row r="60" ht="15.0" customHeight="1">
      <c r="A60" s="17" t="s">
        <v>1262</v>
      </c>
      <c r="B60" s="14"/>
      <c r="C60" s="14"/>
      <c r="D60" s="14"/>
      <c r="E60" s="14"/>
      <c r="F60" s="14"/>
    </row>
    <row r="61" ht="15.0" customHeight="1">
      <c r="A61" s="17" t="s">
        <v>1263</v>
      </c>
      <c r="B61" s="14"/>
      <c r="C61" s="14"/>
      <c r="D61" s="14"/>
      <c r="E61" s="14"/>
      <c r="F61" s="14"/>
    </row>
    <row r="62" ht="15.0" customHeight="1">
      <c r="A62" s="17" t="s">
        <v>1264</v>
      </c>
      <c r="B62" s="14"/>
      <c r="C62" s="14"/>
      <c r="D62" s="14"/>
      <c r="E62" s="14"/>
      <c r="F62" s="14"/>
    </row>
    <row r="63" ht="15.0" customHeight="1">
      <c r="A63" s="17" t="s">
        <v>1265</v>
      </c>
      <c r="B63" s="14"/>
      <c r="C63" s="14"/>
      <c r="D63" s="14"/>
      <c r="E63" s="14"/>
      <c r="F63" s="14"/>
    </row>
    <row r="64" ht="15.0" customHeight="1">
      <c r="A64" s="17" t="s">
        <v>1266</v>
      </c>
      <c r="B64" s="14"/>
      <c r="C64" s="14"/>
      <c r="D64" s="14"/>
      <c r="E64" s="14"/>
      <c r="F64" s="14"/>
    </row>
    <row r="65" ht="15.0" customHeight="1">
      <c r="A65" s="17" t="s">
        <v>1267</v>
      </c>
      <c r="B65" s="14"/>
      <c r="C65" s="14"/>
      <c r="D65" s="14"/>
      <c r="E65" s="14"/>
      <c r="F65" s="14"/>
    </row>
    <row r="66" ht="15.0" customHeight="1">
      <c r="A66" s="17" t="s">
        <v>1268</v>
      </c>
      <c r="B66" s="14"/>
      <c r="C66" s="14"/>
      <c r="D66" s="14"/>
      <c r="E66" s="14"/>
      <c r="F66" s="14"/>
    </row>
    <row r="67" ht="15.0" customHeight="1">
      <c r="A67" s="17" t="s">
        <v>1269</v>
      </c>
      <c r="B67" s="14"/>
      <c r="C67" s="14"/>
      <c r="D67" s="14"/>
      <c r="E67" s="14"/>
      <c r="F67" s="14"/>
    </row>
    <row r="68" ht="15.0" customHeight="1">
      <c r="A68" s="17" t="s">
        <v>1270</v>
      </c>
      <c r="B68" s="14"/>
      <c r="C68" s="14"/>
      <c r="D68" s="14"/>
      <c r="E68" s="14"/>
      <c r="F68" s="14"/>
    </row>
    <row r="69" ht="15.0" customHeight="1">
      <c r="A69" s="17" t="s">
        <v>1271</v>
      </c>
      <c r="B69" s="14"/>
      <c r="C69" s="14"/>
      <c r="D69" s="14"/>
      <c r="E69" s="14"/>
      <c r="F69" s="14"/>
    </row>
    <row r="70" ht="15.0" customHeight="1">
      <c r="A70" s="17" t="s">
        <v>1272</v>
      </c>
      <c r="B70" s="14"/>
      <c r="C70" s="14"/>
      <c r="D70" s="14"/>
      <c r="E70" s="14"/>
      <c r="F70" s="14"/>
    </row>
    <row r="71" ht="15.0" customHeight="1">
      <c r="A71" s="17" t="s">
        <v>1273</v>
      </c>
      <c r="B71" s="14"/>
      <c r="C71" s="14"/>
      <c r="D71" s="14"/>
      <c r="E71" s="14"/>
      <c r="F71" s="14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1:F2"/>
    <mergeCell ref="A4:F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9:F29"/>
    <mergeCell ref="A36:F36"/>
    <mergeCell ref="A43:F43"/>
    <mergeCell ref="A44:F44"/>
    <mergeCell ref="A45:F45"/>
    <mergeCell ref="A46:F46"/>
    <mergeCell ref="A47:F47"/>
    <mergeCell ref="A48:F48"/>
    <mergeCell ref="A51:F51"/>
    <mergeCell ref="A52:F52"/>
    <mergeCell ref="A53:F53"/>
    <mergeCell ref="A54:F54"/>
    <mergeCell ref="A55:F55"/>
    <mergeCell ref="A56:F56"/>
    <mergeCell ref="A64:F64"/>
    <mergeCell ref="A65:F65"/>
    <mergeCell ref="A66:F66"/>
    <mergeCell ref="A67:F67"/>
    <mergeCell ref="A68:F68"/>
    <mergeCell ref="A69:F69"/>
    <mergeCell ref="A70:F70"/>
    <mergeCell ref="A71:F71"/>
    <mergeCell ref="A57:F57"/>
    <mergeCell ref="A58:F58"/>
    <mergeCell ref="A59:F59"/>
    <mergeCell ref="A60:F60"/>
    <mergeCell ref="A61:F61"/>
    <mergeCell ref="A62:F62"/>
    <mergeCell ref="A63:F63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7.88"/>
    <col customWidth="1" min="2" max="2" width="11.38"/>
    <col customWidth="1" min="3" max="3" width="30.63"/>
    <col customWidth="1" min="4" max="4" width="14.0"/>
    <col customWidth="1" min="5" max="5" width="10.5"/>
    <col customWidth="1" min="6" max="6" width="35.0"/>
    <col customWidth="1" min="7" max="8" width="21.88"/>
    <col customWidth="1" min="9" max="10" width="9.63"/>
    <col customWidth="1" min="11" max="11" width="7.0"/>
    <col customWidth="1" min="12" max="12" width="11.38"/>
    <col customWidth="1" min="13" max="13" width="21.88"/>
    <col customWidth="1" min="14" max="26" width="7.63"/>
  </cols>
  <sheetData>
    <row r="1" ht="15.0" customHeight="1">
      <c r="A1" s="1" t="s">
        <v>1274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4">
      <c r="A4" s="8" t="s">
        <v>1275</v>
      </c>
      <c r="B4" s="8" t="s">
        <v>1276</v>
      </c>
      <c r="C4" s="8" t="s">
        <v>1277</v>
      </c>
      <c r="D4" s="8" t="s">
        <v>1222</v>
      </c>
      <c r="E4" s="8" t="s">
        <v>242</v>
      </c>
      <c r="F4" s="8" t="s">
        <v>1278</v>
      </c>
      <c r="G4" s="8" t="s">
        <v>1279</v>
      </c>
      <c r="H4" s="8" t="s">
        <v>1280</v>
      </c>
      <c r="I4" s="8" t="s">
        <v>1281</v>
      </c>
      <c r="J4" s="8" t="s">
        <v>927</v>
      </c>
      <c r="K4" s="8" t="s">
        <v>558</v>
      </c>
      <c r="L4" s="8" t="s">
        <v>144</v>
      </c>
      <c r="M4" s="8" t="s">
        <v>1282</v>
      </c>
    </row>
    <row r="5">
      <c r="A5" s="9" t="s">
        <v>1283</v>
      </c>
      <c r="B5" s="9" t="s">
        <v>450</v>
      </c>
      <c r="C5" s="9" t="s">
        <v>1284</v>
      </c>
      <c r="D5" s="64" t="s">
        <v>1227</v>
      </c>
      <c r="E5" s="9" t="s">
        <v>437</v>
      </c>
      <c r="F5" s="9" t="s">
        <v>1285</v>
      </c>
      <c r="G5" s="9" t="s">
        <v>1286</v>
      </c>
      <c r="H5" s="9" t="s">
        <v>1287</v>
      </c>
      <c r="I5" s="9" t="s">
        <v>188</v>
      </c>
      <c r="J5" s="9" t="s">
        <v>155</v>
      </c>
      <c r="K5" s="9" t="s">
        <v>632</v>
      </c>
      <c r="L5" s="9" t="s">
        <v>1288</v>
      </c>
      <c r="M5" s="9" t="s">
        <v>450</v>
      </c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ht="15.75" customHeight="1"/>
    <row r="28" ht="15.75" customHeight="1"/>
    <row r="29" ht="15.75" customHeight="1">
      <c r="A29" s="34" t="s">
        <v>1289</v>
      </c>
      <c r="B29" s="69" t="s">
        <v>1290</v>
      </c>
      <c r="C29" s="70">
        <f>COUNTIF(D5:D26,"P1 *")+COUNTIF(D5:D26,"*P1 —*")</f>
        <v>2</v>
      </c>
    </row>
    <row r="30" ht="15.75" customHeight="1">
      <c r="B30" s="71" t="s">
        <v>1291</v>
      </c>
      <c r="C30" s="70">
        <f>COUNTIF(D5:D26,"P2 *")+COUNTIF(D5:D26,"*P2 —*")</f>
        <v>0</v>
      </c>
    </row>
    <row r="31" ht="15.75" customHeight="1">
      <c r="B31" s="72" t="s">
        <v>1292</v>
      </c>
      <c r="C31" s="70">
        <f>COUNTIF(D5:D26,"P3 *")+COUNTIF(D5:D26,"*P3 —*")</f>
        <v>0</v>
      </c>
    </row>
    <row r="32" ht="15.75" customHeight="1">
      <c r="B32" s="73" t="s">
        <v>1293</v>
      </c>
      <c r="C32" s="70">
        <f>COUNTIF(D5:D26,"P4 *")+COUNTIF(D5:D26,"*P4 —*")</f>
        <v>0</v>
      </c>
    </row>
    <row r="33" ht="15.75" customHeight="1">
      <c r="B33" s="74" t="s">
        <v>1294</v>
      </c>
      <c r="C33" s="70">
        <f>COUNTA(L5:L26)-COUNTIF(L5:L26,"Fixed")-COUNTIF(L5:L26,"Verified")-COUNTIF(L5:L26,"Closed")</f>
        <v>1</v>
      </c>
    </row>
    <row r="34" ht="15.75" customHeight="1">
      <c r="B34" s="75" t="s">
        <v>1295</v>
      </c>
      <c r="C34" s="70">
        <f>COUNTIF(L5:L26,"Fixed")+COUNTIF(L5:L26,"Verified")</f>
        <v>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2"/>
  </mergeCells>
  <conditionalFormatting sqref="L5:L26">
    <cfRule type="cellIs" dxfId="0" priority="1" operator="equal">
      <formula>"Done"</formula>
    </cfRule>
  </conditionalFormatting>
  <conditionalFormatting sqref="L5:L26">
    <cfRule type="cellIs" dxfId="1" priority="2" operator="equal">
      <formula>"In Progress"</formula>
    </cfRule>
  </conditionalFormatting>
  <conditionalFormatting sqref="L5:L26">
    <cfRule type="cellIs" dxfId="2" priority="3" operator="equal">
      <formula>"Blocked"</formula>
    </cfRule>
  </conditionalFormatting>
  <conditionalFormatting sqref="L5:L26">
    <cfRule type="cellIs" dxfId="3" priority="4" operator="equal">
      <formula>"Not Started"</formula>
    </cfRule>
  </conditionalFormatting>
  <conditionalFormatting sqref="L5:L26">
    <cfRule type="cellIs" dxfId="4" priority="5" operator="equal">
      <formula>"In Review"</formula>
    </cfRule>
  </conditionalFormatting>
  <conditionalFormatting sqref="L5:L26">
    <cfRule type="cellIs" dxfId="0" priority="6" operator="equal">
      <formula>"Fixed"</formula>
    </cfRule>
  </conditionalFormatting>
  <conditionalFormatting sqref="L5:L26">
    <cfRule type="cellIs" dxfId="5" priority="7" operator="equal">
      <formula>"Verified"</formula>
    </cfRule>
  </conditionalFormatting>
  <conditionalFormatting sqref="L5:L26">
    <cfRule type="cellIs" dxfId="6" priority="8" operator="equal">
      <formula>"Won't Fix"</formula>
    </cfRule>
  </conditionalFormatting>
  <conditionalFormatting sqref="L5:L26">
    <cfRule type="cellIs" dxfId="7" priority="9" operator="equal">
      <formula>"New"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88"/>
    <col customWidth="1" min="2" max="3" width="12.25"/>
    <col customWidth="1" min="4" max="4" width="43.75"/>
    <col customWidth="1" min="5" max="5" width="9.63"/>
    <col customWidth="1" min="6" max="6" width="30.63"/>
    <col customWidth="1" min="7" max="7" width="9.63"/>
    <col customWidth="1" min="8" max="9" width="12.25"/>
    <col customWidth="1" min="10" max="26" width="7.63"/>
  </cols>
  <sheetData>
    <row r="1" ht="15.0" customHeight="1">
      <c r="A1" s="1" t="s">
        <v>1296</v>
      </c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4">
      <c r="A4" s="8" t="s">
        <v>108</v>
      </c>
      <c r="B4" s="8" t="s">
        <v>1297</v>
      </c>
      <c r="C4" s="8" t="s">
        <v>242</v>
      </c>
      <c r="D4" s="8" t="s">
        <v>1298</v>
      </c>
      <c r="E4" s="8" t="s">
        <v>1222</v>
      </c>
      <c r="F4" s="8" t="s">
        <v>1299</v>
      </c>
      <c r="G4" s="8" t="s">
        <v>143</v>
      </c>
      <c r="H4" s="8" t="s">
        <v>1300</v>
      </c>
      <c r="I4" s="8" t="s">
        <v>144</v>
      </c>
    </row>
    <row r="5">
      <c r="A5" s="9" t="s">
        <v>1301</v>
      </c>
      <c r="B5" s="9" t="s">
        <v>450</v>
      </c>
      <c r="C5" s="9" t="s">
        <v>1302</v>
      </c>
      <c r="D5" s="9" t="s">
        <v>1303</v>
      </c>
      <c r="E5" s="9" t="s">
        <v>1304</v>
      </c>
      <c r="F5" s="9" t="s">
        <v>1305</v>
      </c>
      <c r="G5" s="9" t="s">
        <v>155</v>
      </c>
      <c r="H5" s="9" t="s">
        <v>450</v>
      </c>
      <c r="I5" s="9" t="s">
        <v>149</v>
      </c>
    </row>
    <row r="6">
      <c r="A6" s="9" t="s">
        <v>1306</v>
      </c>
      <c r="B6" s="9" t="s">
        <v>450</v>
      </c>
      <c r="C6" s="9" t="s">
        <v>1302</v>
      </c>
      <c r="D6" s="9" t="s">
        <v>1307</v>
      </c>
      <c r="E6" s="9" t="s">
        <v>1308</v>
      </c>
      <c r="F6" s="9" t="s">
        <v>1309</v>
      </c>
      <c r="G6" s="9" t="s">
        <v>168</v>
      </c>
      <c r="H6" s="9" t="s">
        <v>450</v>
      </c>
      <c r="I6" s="9" t="s">
        <v>149</v>
      </c>
    </row>
    <row r="7">
      <c r="A7" s="9"/>
      <c r="B7" s="9"/>
      <c r="C7" s="9"/>
      <c r="D7" s="9"/>
      <c r="E7" s="9"/>
      <c r="F7" s="9"/>
      <c r="G7" s="9"/>
      <c r="H7" s="9"/>
      <c r="I7" s="9"/>
    </row>
    <row r="8">
      <c r="A8" s="9"/>
      <c r="B8" s="9"/>
      <c r="C8" s="9"/>
      <c r="D8" s="9"/>
      <c r="E8" s="9"/>
      <c r="F8" s="9"/>
      <c r="G8" s="9"/>
      <c r="H8" s="9"/>
      <c r="I8" s="9"/>
    </row>
    <row r="9">
      <c r="A9" s="9"/>
      <c r="B9" s="9"/>
      <c r="C9" s="9"/>
      <c r="D9" s="9"/>
      <c r="E9" s="9"/>
      <c r="F9" s="9"/>
      <c r="G9" s="9"/>
      <c r="H9" s="9"/>
      <c r="I9" s="9"/>
    </row>
    <row r="10">
      <c r="A10" s="9"/>
      <c r="B10" s="9"/>
      <c r="C10" s="9"/>
      <c r="D10" s="9"/>
      <c r="E10" s="9"/>
      <c r="F10" s="9"/>
      <c r="G10" s="9"/>
      <c r="H10" s="9"/>
      <c r="I10" s="9"/>
    </row>
    <row r="11">
      <c r="A11" s="9"/>
      <c r="B11" s="9"/>
      <c r="C11" s="9"/>
      <c r="D11" s="9"/>
      <c r="E11" s="9"/>
      <c r="F11" s="9"/>
      <c r="G11" s="9"/>
      <c r="H11" s="9"/>
      <c r="I11" s="9"/>
    </row>
    <row r="12">
      <c r="A12" s="9"/>
      <c r="B12" s="9"/>
      <c r="C12" s="9"/>
      <c r="D12" s="9"/>
      <c r="E12" s="9"/>
      <c r="F12" s="9"/>
      <c r="G12" s="9"/>
      <c r="H12" s="9"/>
      <c r="I12" s="9"/>
    </row>
    <row r="13">
      <c r="A13" s="9"/>
      <c r="B13" s="9"/>
      <c r="C13" s="9"/>
      <c r="D13" s="9"/>
      <c r="E13" s="9"/>
      <c r="F13" s="9"/>
      <c r="G13" s="9"/>
      <c r="H13" s="9"/>
      <c r="I13" s="9"/>
    </row>
    <row r="14">
      <c r="A14" s="9"/>
      <c r="B14" s="9"/>
      <c r="C14" s="9"/>
      <c r="D14" s="9"/>
      <c r="E14" s="9"/>
      <c r="F14" s="9"/>
      <c r="G14" s="9"/>
      <c r="H14" s="9"/>
      <c r="I14" s="9"/>
    </row>
    <row r="15">
      <c r="A15" s="9"/>
      <c r="B15" s="9"/>
      <c r="C15" s="9"/>
      <c r="D15" s="9"/>
      <c r="E15" s="9"/>
      <c r="F15" s="9"/>
      <c r="G15" s="9"/>
      <c r="H15" s="9"/>
      <c r="I15" s="9"/>
    </row>
    <row r="16">
      <c r="A16" s="9"/>
      <c r="B16" s="9"/>
      <c r="C16" s="9"/>
      <c r="D16" s="9"/>
      <c r="E16" s="9"/>
      <c r="F16" s="9"/>
      <c r="G16" s="9"/>
      <c r="H16" s="9"/>
      <c r="I16" s="9"/>
    </row>
    <row r="17">
      <c r="A17" s="9"/>
      <c r="B17" s="9"/>
      <c r="C17" s="9"/>
      <c r="D17" s="9"/>
      <c r="E17" s="9"/>
      <c r="F17" s="9"/>
      <c r="G17" s="9"/>
      <c r="H17" s="9"/>
      <c r="I17" s="9"/>
    </row>
    <row r="18">
      <c r="A18" s="9"/>
      <c r="B18" s="9"/>
      <c r="C18" s="9"/>
      <c r="D18" s="9"/>
      <c r="E18" s="9"/>
      <c r="F18" s="9"/>
      <c r="G18" s="9"/>
      <c r="H18" s="9"/>
      <c r="I18" s="9"/>
    </row>
    <row r="19">
      <c r="A19" s="9"/>
      <c r="B19" s="9"/>
      <c r="C19" s="9"/>
      <c r="D19" s="9"/>
      <c r="E19" s="9"/>
      <c r="F19" s="9"/>
      <c r="G19" s="9"/>
      <c r="H19" s="9"/>
      <c r="I19" s="9"/>
    </row>
    <row r="20">
      <c r="A20" s="9"/>
      <c r="B20" s="9"/>
      <c r="C20" s="9"/>
      <c r="D20" s="9"/>
      <c r="E20" s="9"/>
      <c r="F20" s="9"/>
      <c r="G20" s="9"/>
      <c r="H20" s="9"/>
      <c r="I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conditionalFormatting sqref="I5:I24">
    <cfRule type="cellIs" dxfId="0" priority="1" operator="equal">
      <formula>"Done"</formula>
    </cfRule>
  </conditionalFormatting>
  <conditionalFormatting sqref="I5:I24">
    <cfRule type="cellIs" dxfId="1" priority="2" operator="equal">
      <formula>"In Progress"</formula>
    </cfRule>
  </conditionalFormatting>
  <conditionalFormatting sqref="I5:I24">
    <cfRule type="cellIs" dxfId="2" priority="3" operator="equal">
      <formula>"Blocked"</formula>
    </cfRule>
  </conditionalFormatting>
  <conditionalFormatting sqref="I5:I24">
    <cfRule type="cellIs" dxfId="3" priority="4" operator="equal">
      <formula>"Not Started"</formula>
    </cfRule>
  </conditionalFormatting>
  <conditionalFormatting sqref="I5:I24">
    <cfRule type="cellIs" dxfId="4" priority="5" operator="equal">
      <formula>"In Review"</formula>
    </cfRule>
  </conditionalFormatting>
  <conditionalFormatting sqref="I5:I24">
    <cfRule type="cellIs" dxfId="0" priority="6" operator="equal">
      <formula>"Fixed"</formula>
    </cfRule>
  </conditionalFormatting>
  <conditionalFormatting sqref="I5:I24">
    <cfRule type="cellIs" dxfId="5" priority="7" operator="equal">
      <formula>"Verified"</formula>
    </cfRule>
  </conditionalFormatting>
  <conditionalFormatting sqref="I5:I24">
    <cfRule type="cellIs" dxfId="6" priority="8" operator="equal">
      <formula>"Won't Fix"</formula>
    </cfRule>
  </conditionalFormatting>
  <conditionalFormatting sqref="I5:I24">
    <cfRule type="cellIs" dxfId="7" priority="9" operator="equal">
      <formula>"New"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39.38"/>
    <col customWidth="1" min="3" max="3" width="10.5"/>
    <col customWidth="1" min="4" max="5" width="9.63"/>
    <col customWidth="1" min="6" max="6" width="7.0"/>
    <col customWidth="1" min="7" max="7" width="43.75"/>
    <col customWidth="1" min="8" max="8" width="30.63"/>
    <col customWidth="1" min="9" max="9" width="9.63"/>
    <col customWidth="1" min="10" max="26" width="7.63"/>
  </cols>
  <sheetData>
    <row r="1" ht="15.0" customHeight="1">
      <c r="A1" s="1" t="s">
        <v>1310</v>
      </c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4">
      <c r="A4" s="8" t="s">
        <v>108</v>
      </c>
      <c r="B4" s="8" t="s">
        <v>1311</v>
      </c>
      <c r="C4" s="8" t="s">
        <v>1312</v>
      </c>
      <c r="D4" s="8" t="s">
        <v>1313</v>
      </c>
      <c r="E4" s="8" t="s">
        <v>1314</v>
      </c>
      <c r="F4" s="8" t="s">
        <v>1315</v>
      </c>
      <c r="G4" s="8" t="s">
        <v>111</v>
      </c>
      <c r="H4" s="8" t="s">
        <v>1316</v>
      </c>
      <c r="I4" s="8" t="s">
        <v>143</v>
      </c>
    </row>
    <row r="5">
      <c r="A5" s="9" t="s">
        <v>112</v>
      </c>
      <c r="B5" s="9" t="s">
        <v>113</v>
      </c>
      <c r="C5" s="9" t="s">
        <v>1317</v>
      </c>
      <c r="D5" s="9" t="s">
        <v>1308</v>
      </c>
      <c r="E5" s="9" t="s">
        <v>1304</v>
      </c>
      <c r="F5" s="76" t="s">
        <v>1318</v>
      </c>
      <c r="G5" s="9" t="s">
        <v>1319</v>
      </c>
      <c r="H5" s="9" t="s">
        <v>1320</v>
      </c>
      <c r="I5" s="9" t="s">
        <v>155</v>
      </c>
    </row>
    <row r="6">
      <c r="A6" s="9" t="s">
        <v>116</v>
      </c>
      <c r="B6" s="9" t="s">
        <v>1321</v>
      </c>
      <c r="C6" s="9" t="s">
        <v>1322</v>
      </c>
      <c r="D6" s="9" t="s">
        <v>1308</v>
      </c>
      <c r="E6" s="9" t="s">
        <v>1304</v>
      </c>
      <c r="F6" s="76" t="s">
        <v>1318</v>
      </c>
      <c r="G6" s="9" t="s">
        <v>1323</v>
      </c>
      <c r="H6" s="9" t="s">
        <v>1324</v>
      </c>
      <c r="I6" s="9" t="s">
        <v>155</v>
      </c>
    </row>
    <row r="7">
      <c r="A7" s="9" t="s">
        <v>1325</v>
      </c>
      <c r="B7" s="9" t="s">
        <v>120</v>
      </c>
      <c r="C7" s="9" t="s">
        <v>1326</v>
      </c>
      <c r="D7" s="9" t="s">
        <v>1308</v>
      </c>
      <c r="E7" s="9" t="s">
        <v>1308</v>
      </c>
      <c r="F7" s="77" t="s">
        <v>1327</v>
      </c>
      <c r="G7" s="9" t="s">
        <v>1328</v>
      </c>
      <c r="H7" s="9" t="s">
        <v>1329</v>
      </c>
      <c r="I7" s="9" t="s">
        <v>168</v>
      </c>
    </row>
    <row r="8">
      <c r="A8" s="9" t="s">
        <v>119</v>
      </c>
      <c r="B8" s="9" t="s">
        <v>124</v>
      </c>
      <c r="C8" s="9" t="s">
        <v>1330</v>
      </c>
      <c r="D8" s="9" t="s">
        <v>1308</v>
      </c>
      <c r="E8" s="9" t="s">
        <v>1308</v>
      </c>
      <c r="F8" s="77" t="s">
        <v>1327</v>
      </c>
      <c r="G8" s="9" t="s">
        <v>1331</v>
      </c>
      <c r="H8" s="9" t="s">
        <v>1332</v>
      </c>
      <c r="I8" s="9" t="s">
        <v>168</v>
      </c>
    </row>
    <row r="9">
      <c r="A9" s="9" t="s">
        <v>123</v>
      </c>
      <c r="B9" s="9" t="s">
        <v>1333</v>
      </c>
      <c r="C9" s="9" t="s">
        <v>1317</v>
      </c>
      <c r="D9" s="9" t="s">
        <v>1308</v>
      </c>
      <c r="E9" s="9" t="s">
        <v>1308</v>
      </c>
      <c r="F9" s="77" t="s">
        <v>1327</v>
      </c>
      <c r="G9" s="9" t="s">
        <v>1334</v>
      </c>
      <c r="H9" s="9" t="s">
        <v>1335</v>
      </c>
      <c r="I9" s="9" t="s">
        <v>162</v>
      </c>
    </row>
    <row r="10">
      <c r="A10" s="9" t="s">
        <v>1336</v>
      </c>
      <c r="B10" s="9" t="s">
        <v>1337</v>
      </c>
      <c r="C10" s="9" t="s">
        <v>1330</v>
      </c>
      <c r="D10" s="9" t="s">
        <v>1308</v>
      </c>
      <c r="E10" s="9" t="s">
        <v>1338</v>
      </c>
      <c r="F10" s="78" t="s">
        <v>1339</v>
      </c>
      <c r="G10" s="9" t="s">
        <v>1340</v>
      </c>
      <c r="H10" s="9" t="s">
        <v>1341</v>
      </c>
      <c r="I10" s="9" t="s">
        <v>162</v>
      </c>
    </row>
    <row r="11">
      <c r="A11" s="9" t="s">
        <v>1342</v>
      </c>
      <c r="B11" s="9" t="s">
        <v>1343</v>
      </c>
      <c r="C11" s="9" t="s">
        <v>1326</v>
      </c>
      <c r="D11" s="9" t="s">
        <v>1308</v>
      </c>
      <c r="E11" s="9" t="s">
        <v>1304</v>
      </c>
      <c r="F11" s="76" t="s">
        <v>1318</v>
      </c>
      <c r="G11" s="9" t="s">
        <v>1344</v>
      </c>
      <c r="H11" s="9" t="s">
        <v>1345</v>
      </c>
      <c r="I11" s="9" t="s">
        <v>168</v>
      </c>
    </row>
    <row r="12">
      <c r="A12" s="9" t="s">
        <v>1346</v>
      </c>
      <c r="B12" s="9" t="s">
        <v>1347</v>
      </c>
      <c r="C12" s="9" t="s">
        <v>1317</v>
      </c>
      <c r="D12" s="9" t="s">
        <v>1338</v>
      </c>
      <c r="E12" s="9" t="s">
        <v>1308</v>
      </c>
      <c r="F12" s="78" t="s">
        <v>1339</v>
      </c>
      <c r="G12" s="9" t="s">
        <v>1348</v>
      </c>
      <c r="H12" s="9" t="s">
        <v>1349</v>
      </c>
      <c r="I12" s="9" t="s">
        <v>155</v>
      </c>
    </row>
    <row r="13">
      <c r="A13" s="9" t="s">
        <v>1350</v>
      </c>
      <c r="B13" s="9" t="s">
        <v>1351</v>
      </c>
      <c r="C13" s="9" t="s">
        <v>1202</v>
      </c>
      <c r="D13" s="9" t="s">
        <v>1308</v>
      </c>
      <c r="E13" s="9" t="s">
        <v>1308</v>
      </c>
      <c r="F13" s="77" t="s">
        <v>1327</v>
      </c>
      <c r="G13" s="9" t="s">
        <v>1352</v>
      </c>
      <c r="H13" s="9" t="s">
        <v>1353</v>
      </c>
      <c r="I13" s="9" t="s">
        <v>155</v>
      </c>
    </row>
    <row r="14">
      <c r="A14" s="9" t="s">
        <v>1354</v>
      </c>
      <c r="B14" s="9" t="s">
        <v>1355</v>
      </c>
      <c r="C14" s="9" t="s">
        <v>1356</v>
      </c>
      <c r="D14" s="9" t="s">
        <v>1304</v>
      </c>
      <c r="E14" s="9" t="s">
        <v>1304</v>
      </c>
      <c r="F14" s="76" t="s">
        <v>1357</v>
      </c>
      <c r="G14" s="9" t="s">
        <v>1358</v>
      </c>
      <c r="H14" s="9" t="s">
        <v>1359</v>
      </c>
      <c r="I14" s="9" t="s">
        <v>168</v>
      </c>
    </row>
    <row r="15">
      <c r="A15" s="9" t="s">
        <v>126</v>
      </c>
      <c r="B15" s="9" t="s">
        <v>1360</v>
      </c>
      <c r="C15" s="9" t="s">
        <v>1356</v>
      </c>
      <c r="D15" s="9" t="s">
        <v>1308</v>
      </c>
      <c r="E15" s="9" t="s">
        <v>1304</v>
      </c>
      <c r="F15" s="76" t="s">
        <v>1318</v>
      </c>
      <c r="G15" s="9" t="s">
        <v>1361</v>
      </c>
      <c r="H15" s="9" t="s">
        <v>1362</v>
      </c>
      <c r="I15" s="9" t="s">
        <v>168</v>
      </c>
    </row>
    <row r="16">
      <c r="A16" s="9" t="s">
        <v>1363</v>
      </c>
      <c r="B16" s="9" t="s">
        <v>1364</v>
      </c>
      <c r="C16" s="9" t="s">
        <v>1356</v>
      </c>
      <c r="D16" s="9" t="s">
        <v>1308</v>
      </c>
      <c r="E16" s="9" t="s">
        <v>1304</v>
      </c>
      <c r="F16" s="76" t="s">
        <v>1318</v>
      </c>
      <c r="G16" s="9" t="s">
        <v>1365</v>
      </c>
      <c r="H16" s="9" t="s">
        <v>1366</v>
      </c>
      <c r="I16" s="9" t="s">
        <v>155</v>
      </c>
    </row>
    <row r="17">
      <c r="A17" s="9" t="s">
        <v>130</v>
      </c>
      <c r="B17" s="9" t="s">
        <v>1367</v>
      </c>
      <c r="C17" s="9" t="s">
        <v>1356</v>
      </c>
      <c r="D17" s="9" t="s">
        <v>1308</v>
      </c>
      <c r="E17" s="9" t="s">
        <v>1308</v>
      </c>
      <c r="F17" s="77" t="s">
        <v>1327</v>
      </c>
      <c r="G17" s="9" t="s">
        <v>1368</v>
      </c>
      <c r="H17" s="9" t="s">
        <v>1369</v>
      </c>
      <c r="I17" s="9" t="s">
        <v>155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I2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88"/>
    <col customWidth="1" min="2" max="3" width="10.5"/>
    <col customWidth="1" min="4" max="4" width="39.38"/>
    <col customWidth="1" min="5" max="5" width="43.75"/>
    <col customWidth="1" min="6" max="6" width="14.0"/>
    <col customWidth="1" min="7" max="7" width="21.88"/>
    <col customWidth="1" min="8" max="26" width="7.63"/>
  </cols>
  <sheetData>
    <row r="1" ht="15.0" customHeight="1">
      <c r="A1" s="1" t="s">
        <v>1370</v>
      </c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  <c r="G2" s="6"/>
    </row>
    <row r="4">
      <c r="A4" s="8" t="s">
        <v>108</v>
      </c>
      <c r="B4" s="8" t="s">
        <v>1371</v>
      </c>
      <c r="C4" s="8" t="s">
        <v>1372</v>
      </c>
      <c r="D4" s="8" t="s">
        <v>1373</v>
      </c>
      <c r="E4" s="8" t="s">
        <v>1374</v>
      </c>
      <c r="F4" s="8" t="s">
        <v>1375</v>
      </c>
      <c r="G4" s="8" t="s">
        <v>1314</v>
      </c>
    </row>
    <row r="5">
      <c r="A5" s="9" t="s">
        <v>1376</v>
      </c>
      <c r="B5" s="9" t="s">
        <v>450</v>
      </c>
      <c r="C5" s="9" t="s">
        <v>1377</v>
      </c>
      <c r="D5" s="10" t="s">
        <v>1378</v>
      </c>
      <c r="E5" s="10" t="s">
        <v>1379</v>
      </c>
      <c r="F5" s="9" t="s">
        <v>67</v>
      </c>
      <c r="G5" s="9" t="s">
        <v>1380</v>
      </c>
    </row>
    <row r="6">
      <c r="A6" s="9" t="s">
        <v>1381</v>
      </c>
      <c r="B6" s="9" t="s">
        <v>450</v>
      </c>
      <c r="C6" s="9" t="s">
        <v>1377</v>
      </c>
      <c r="D6" s="9" t="s">
        <v>1382</v>
      </c>
      <c r="E6" s="9" t="s">
        <v>1383</v>
      </c>
      <c r="F6" s="9" t="s">
        <v>67</v>
      </c>
      <c r="G6" s="9" t="s">
        <v>1384</v>
      </c>
    </row>
    <row r="7">
      <c r="A7" s="9" t="s">
        <v>1385</v>
      </c>
      <c r="B7" s="9" t="s">
        <v>450</v>
      </c>
      <c r="C7" s="9" t="s">
        <v>1386</v>
      </c>
      <c r="D7" s="9" t="s">
        <v>1387</v>
      </c>
      <c r="E7" s="9" t="s">
        <v>1388</v>
      </c>
      <c r="F7" s="9" t="s">
        <v>197</v>
      </c>
      <c r="G7" s="9" t="s">
        <v>1389</v>
      </c>
    </row>
    <row r="8">
      <c r="A8" s="9" t="s">
        <v>1390</v>
      </c>
      <c r="B8" s="9" t="s">
        <v>450</v>
      </c>
      <c r="C8" s="9" t="s">
        <v>1391</v>
      </c>
      <c r="D8" s="9" t="s">
        <v>1392</v>
      </c>
      <c r="E8" s="9" t="s">
        <v>1393</v>
      </c>
      <c r="F8" s="9" t="s">
        <v>168</v>
      </c>
      <c r="G8" s="9" t="s">
        <v>1394</v>
      </c>
    </row>
    <row r="9">
      <c r="A9" s="9" t="s">
        <v>1395</v>
      </c>
      <c r="B9" s="9" t="s">
        <v>450</v>
      </c>
      <c r="C9" s="9" t="s">
        <v>1105</v>
      </c>
      <c r="D9" s="9" t="s">
        <v>1396</v>
      </c>
      <c r="E9" s="9" t="s">
        <v>1397</v>
      </c>
      <c r="F9" s="9" t="s">
        <v>168</v>
      </c>
      <c r="G9" s="9" t="s">
        <v>1398</v>
      </c>
    </row>
    <row r="10">
      <c r="A10" s="9" t="s">
        <v>1399</v>
      </c>
      <c r="B10" s="9" t="s">
        <v>450</v>
      </c>
      <c r="C10" s="9" t="s">
        <v>249</v>
      </c>
      <c r="D10" s="9" t="s">
        <v>1400</v>
      </c>
      <c r="E10" s="9" t="s">
        <v>1401</v>
      </c>
      <c r="F10" s="9" t="s">
        <v>168</v>
      </c>
      <c r="G10" s="9" t="s">
        <v>1402</v>
      </c>
    </row>
    <row r="11">
      <c r="A11" s="9" t="s">
        <v>1403</v>
      </c>
      <c r="B11" s="9" t="s">
        <v>450</v>
      </c>
      <c r="C11" s="9" t="s">
        <v>249</v>
      </c>
      <c r="D11" s="9" t="s">
        <v>1404</v>
      </c>
      <c r="E11" s="9" t="s">
        <v>1405</v>
      </c>
      <c r="F11" s="9" t="s">
        <v>67</v>
      </c>
      <c r="G11" s="9" t="s">
        <v>1406</v>
      </c>
    </row>
    <row r="12">
      <c r="A12" s="9"/>
      <c r="B12" s="9"/>
      <c r="C12" s="9"/>
      <c r="D12" s="9"/>
      <c r="E12" s="9"/>
      <c r="F12" s="9"/>
      <c r="G12" s="9"/>
    </row>
    <row r="13">
      <c r="A13" s="9"/>
      <c r="B13" s="9"/>
      <c r="C13" s="9"/>
      <c r="D13" s="9"/>
      <c r="E13" s="9"/>
      <c r="F13" s="9"/>
      <c r="G13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2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24.5"/>
    <col customWidth="1" min="3" max="3" width="19.25"/>
    <col customWidth="1" min="4" max="6" width="15.75"/>
    <col customWidth="1" min="7" max="26" width="7.63"/>
  </cols>
  <sheetData>
    <row r="1" ht="15.0" customHeight="1">
      <c r="A1" s="1" t="s">
        <v>1407</v>
      </c>
      <c r="B1" s="2"/>
      <c r="C1" s="2"/>
      <c r="D1" s="2"/>
      <c r="E1" s="2"/>
      <c r="F1" s="3"/>
    </row>
    <row r="2">
      <c r="A2" s="4"/>
      <c r="B2" s="5"/>
      <c r="C2" s="5"/>
      <c r="D2" s="5"/>
      <c r="E2" s="5"/>
      <c r="F2" s="6"/>
    </row>
    <row r="4">
      <c r="A4" s="16" t="s">
        <v>1408</v>
      </c>
      <c r="B4" s="79" t="s">
        <v>1409</v>
      </c>
      <c r="C4" s="14"/>
      <c r="D4" s="14"/>
      <c r="E4" s="14"/>
      <c r="F4" s="80"/>
    </row>
    <row r="5">
      <c r="A5" s="16" t="s">
        <v>558</v>
      </c>
      <c r="B5" s="79" t="s">
        <v>1410</v>
      </c>
      <c r="C5" s="14"/>
      <c r="D5" s="14"/>
      <c r="E5" s="14"/>
      <c r="F5" s="80"/>
    </row>
    <row r="6">
      <c r="A6" s="16" t="s">
        <v>168</v>
      </c>
      <c r="B6" s="79" t="s">
        <v>1411</v>
      </c>
      <c r="C6" s="14"/>
      <c r="D6" s="14"/>
      <c r="E6" s="14"/>
      <c r="F6" s="80"/>
    </row>
    <row r="7">
      <c r="A7" s="16" t="s">
        <v>1412</v>
      </c>
      <c r="B7" s="79" t="s">
        <v>1413</v>
      </c>
      <c r="C7" s="14"/>
      <c r="D7" s="14"/>
      <c r="E7" s="14"/>
      <c r="F7" s="80"/>
    </row>
    <row r="9" ht="15.0" customHeight="1">
      <c r="A9" s="81" t="s">
        <v>1414</v>
      </c>
      <c r="B9" s="31"/>
      <c r="C9" s="31"/>
      <c r="D9" s="31"/>
      <c r="E9" s="31"/>
      <c r="F9" s="32"/>
    </row>
    <row r="10" ht="15.0" customHeight="1">
      <c r="A10" s="17" t="s">
        <v>1415</v>
      </c>
      <c r="B10" s="14"/>
      <c r="C10" s="14"/>
      <c r="D10" s="14"/>
      <c r="E10" s="14"/>
      <c r="F10" s="14"/>
    </row>
    <row r="11" ht="15.0" customHeight="1">
      <c r="A11" s="17" t="s">
        <v>1416</v>
      </c>
      <c r="B11" s="14"/>
      <c r="C11" s="14"/>
      <c r="D11" s="14"/>
      <c r="E11" s="14"/>
      <c r="F11" s="14"/>
    </row>
    <row r="12" ht="15.0" customHeight="1">
      <c r="A12" s="17" t="s">
        <v>1417</v>
      </c>
      <c r="B12" s="14"/>
      <c r="C12" s="14"/>
      <c r="D12" s="14"/>
      <c r="E12" s="14"/>
      <c r="F12" s="14"/>
    </row>
    <row r="14" ht="15.0" customHeight="1">
      <c r="A14" s="68" t="s">
        <v>1418</v>
      </c>
      <c r="B14" s="31"/>
      <c r="C14" s="31"/>
      <c r="D14" s="31"/>
      <c r="E14" s="31"/>
      <c r="F14" s="32"/>
    </row>
    <row r="15" ht="15.0" customHeight="1">
      <c r="A15" s="17" t="s">
        <v>1419</v>
      </c>
      <c r="B15" s="14"/>
      <c r="C15" s="14"/>
      <c r="D15" s="14"/>
      <c r="E15" s="14"/>
      <c r="F15" s="14"/>
    </row>
    <row r="16" ht="15.0" customHeight="1">
      <c r="A16" s="17" t="s">
        <v>1420</v>
      </c>
      <c r="B16" s="14"/>
      <c r="C16" s="14"/>
      <c r="D16" s="14"/>
      <c r="E16" s="14"/>
      <c r="F16" s="14"/>
    </row>
    <row r="17" ht="15.0" customHeight="1">
      <c r="A17" s="17" t="s">
        <v>1421</v>
      </c>
      <c r="B17" s="14"/>
      <c r="C17" s="14"/>
      <c r="D17" s="14"/>
      <c r="E17" s="14"/>
      <c r="F17" s="14"/>
    </row>
    <row r="19" ht="15.0" customHeight="1">
      <c r="A19" s="82" t="s">
        <v>1422</v>
      </c>
      <c r="B19" s="31"/>
      <c r="C19" s="31"/>
      <c r="D19" s="31"/>
      <c r="E19" s="31"/>
      <c r="F19" s="32"/>
    </row>
    <row r="20">
      <c r="A20" s="16" t="s">
        <v>1423</v>
      </c>
      <c r="B20" s="16" t="s">
        <v>1424</v>
      </c>
      <c r="C20" s="16" t="s">
        <v>1425</v>
      </c>
      <c r="D20" s="16" t="s">
        <v>144</v>
      </c>
    </row>
    <row r="21" ht="15.75" customHeight="1">
      <c r="A21" s="26" t="s">
        <v>1426</v>
      </c>
      <c r="B21" s="26">
        <f>'8. Sprint Backlog'!H74</f>
        <v>214</v>
      </c>
      <c r="C21" s="26" t="s">
        <v>450</v>
      </c>
      <c r="D21" s="26"/>
    </row>
    <row r="22" ht="15.75" customHeight="1">
      <c r="A22" s="26" t="s">
        <v>1427</v>
      </c>
      <c r="B22" s="26">
        <f>'8. Sprint Backlog'!H75</f>
        <v>0</v>
      </c>
      <c r="C22" s="26" t="s">
        <v>450</v>
      </c>
      <c r="D22" s="26"/>
    </row>
    <row r="23" ht="15.75" customHeight="1">
      <c r="A23" s="26" t="s">
        <v>1428</v>
      </c>
      <c r="B23" s="83">
        <f>'8. Sprint Backlog'!H76</f>
        <v>0</v>
      </c>
      <c r="C23" s="26" t="s">
        <v>1429</v>
      </c>
      <c r="D23" s="26"/>
    </row>
    <row r="24" ht="15.75" customHeight="1">
      <c r="A24" s="26" t="s">
        <v>1430</v>
      </c>
      <c r="B24" s="26"/>
      <c r="C24" s="26"/>
      <c r="D24" s="26"/>
    </row>
    <row r="25" ht="15.75" customHeight="1">
      <c r="A25" s="26" t="s">
        <v>1431</v>
      </c>
      <c r="B25" s="26" t="s">
        <v>1432</v>
      </c>
      <c r="C25" s="26" t="s">
        <v>1433</v>
      </c>
      <c r="D25" s="26"/>
    </row>
    <row r="26" ht="15.75" customHeight="1">
      <c r="A26" s="26" t="s">
        <v>1434</v>
      </c>
      <c r="B26" s="26"/>
      <c r="C26" s="26" t="s">
        <v>1435</v>
      </c>
      <c r="D26" s="26"/>
    </row>
    <row r="27" ht="15.75" customHeight="1">
      <c r="A27" s="26" t="s">
        <v>1436</v>
      </c>
      <c r="B27" s="26"/>
      <c r="C27" s="26" t="s">
        <v>1437</v>
      </c>
      <c r="D27" s="26"/>
    </row>
    <row r="28" ht="15.75" customHeight="1">
      <c r="A28" s="26" t="s">
        <v>1438</v>
      </c>
      <c r="B28" s="26"/>
      <c r="C28" s="26" t="s">
        <v>1439</v>
      </c>
      <c r="D28" s="26"/>
    </row>
    <row r="29" ht="15.75" customHeight="1"/>
    <row r="30" ht="15.0" customHeight="1">
      <c r="A30" s="84" t="s">
        <v>1440</v>
      </c>
      <c r="B30" s="31"/>
      <c r="C30" s="31"/>
      <c r="D30" s="31"/>
      <c r="E30" s="31"/>
      <c r="F30" s="32"/>
    </row>
    <row r="31" ht="15.0" customHeight="1">
      <c r="A31" s="17" t="s">
        <v>1441</v>
      </c>
      <c r="B31" s="14"/>
      <c r="C31" s="14"/>
      <c r="D31" s="14"/>
      <c r="E31" s="14"/>
      <c r="F31" s="14"/>
    </row>
    <row r="32" ht="15.0" customHeight="1">
      <c r="A32" s="17" t="s">
        <v>1442</v>
      </c>
      <c r="B32" s="14"/>
      <c r="C32" s="14"/>
      <c r="D32" s="14"/>
      <c r="E32" s="14"/>
      <c r="F32" s="14"/>
    </row>
    <row r="33" ht="15.75" customHeight="1"/>
    <row r="34" ht="15.0" customHeight="1">
      <c r="A34" s="85" t="s">
        <v>1443</v>
      </c>
      <c r="B34" s="31"/>
      <c r="C34" s="31"/>
      <c r="D34" s="31"/>
      <c r="E34" s="31"/>
      <c r="F34" s="32"/>
    </row>
    <row r="35" ht="15.0" customHeight="1">
      <c r="A35" s="17" t="s">
        <v>1444</v>
      </c>
      <c r="B35" s="14"/>
      <c r="C35" s="14"/>
      <c r="D35" s="14"/>
      <c r="E35" s="14"/>
      <c r="F35" s="14"/>
    </row>
    <row r="36" ht="15.75" customHeight="1"/>
    <row r="37" ht="15.0" customHeight="1">
      <c r="A37" s="82" t="s">
        <v>1445</v>
      </c>
      <c r="B37" s="31"/>
      <c r="C37" s="31"/>
      <c r="D37" s="31"/>
      <c r="E37" s="31"/>
      <c r="F37" s="32"/>
    </row>
    <row r="38" ht="15.0" customHeight="1">
      <c r="A38" s="17" t="s">
        <v>1446</v>
      </c>
      <c r="B38" s="14"/>
      <c r="C38" s="14"/>
      <c r="D38" s="14"/>
      <c r="E38" s="14"/>
      <c r="F38" s="14"/>
    </row>
    <row r="39" ht="15.0" customHeight="1">
      <c r="A39" s="17" t="s">
        <v>1447</v>
      </c>
      <c r="B39" s="14"/>
      <c r="C39" s="14"/>
      <c r="D39" s="14"/>
      <c r="E39" s="14"/>
      <c r="F39" s="14"/>
    </row>
    <row r="40" ht="15.0" customHeight="1">
      <c r="A40" s="17" t="s">
        <v>1448</v>
      </c>
      <c r="B40" s="14"/>
      <c r="C40" s="14"/>
      <c r="D40" s="14"/>
      <c r="E40" s="14"/>
      <c r="F40" s="14"/>
    </row>
    <row r="41" ht="15.0" customHeight="1">
      <c r="A41" s="17" t="s">
        <v>1449</v>
      </c>
      <c r="B41" s="14"/>
      <c r="C41" s="14"/>
      <c r="D41" s="14"/>
      <c r="E41" s="14"/>
      <c r="F41" s="1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F2"/>
    <mergeCell ref="B4:F4"/>
    <mergeCell ref="B5:F5"/>
    <mergeCell ref="B6:F6"/>
    <mergeCell ref="B7:F7"/>
    <mergeCell ref="A9:F9"/>
    <mergeCell ref="A10:F10"/>
    <mergeCell ref="A11:F11"/>
    <mergeCell ref="A12:F12"/>
    <mergeCell ref="A14:F14"/>
    <mergeCell ref="A15:F15"/>
    <mergeCell ref="A16:F16"/>
    <mergeCell ref="A17:F17"/>
    <mergeCell ref="A19:F19"/>
    <mergeCell ref="A39:F39"/>
    <mergeCell ref="A40:F40"/>
    <mergeCell ref="A41:F41"/>
    <mergeCell ref="A30:F30"/>
    <mergeCell ref="A31:F31"/>
    <mergeCell ref="A32:F32"/>
    <mergeCell ref="A34:F34"/>
    <mergeCell ref="A35:F35"/>
    <mergeCell ref="A37:F37"/>
    <mergeCell ref="A38:F38"/>
  </mergeCells>
  <printOptions/>
  <pageMargins bottom="1.0" footer="0.0" header="0.0" left="0.75" right="0.75" top="1.0"/>
  <pageSetup paperSize="9" orientation="portrait"/>
  <drawing r:id="rId1"/>
</worksheet>
</file>